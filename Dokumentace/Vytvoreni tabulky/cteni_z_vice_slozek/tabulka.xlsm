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x\Dokumentace\Vytvoreni tabulky\cteni_z_vice_slozek\"/>
    </mc:Choice>
  </mc:AlternateContent>
  <xr:revisionPtr revIDLastSave="0" documentId="13_ncr:1_{5E93FE3B-8ED4-47B3-99CC-D62C77FEFA40}" xr6:coauthVersionLast="47" xr6:coauthVersionMax="47" xr10:uidLastSave="{00000000-0000-0000-0000-000000000000}"/>
  <bookViews>
    <workbookView xWindow="7065" yWindow="2145" windowWidth="20610" windowHeight="10050" activeTab="1" xr2:uid="{87E20584-0A2E-4413-8C81-828960889262}"/>
  </bookViews>
  <sheets>
    <sheet name="Program" sheetId="1" r:id="rId1"/>
    <sheet name="Souradnice" sheetId="2" r:id="rId2"/>
    <sheet name="Vytyceni" sheetId="3" r:id="rId3"/>
    <sheet name="Zamereni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0" i="2" l="1"/>
  <c r="K88" i="2"/>
  <c r="K87" i="2"/>
  <c r="K86" i="2"/>
  <c r="K85" i="2"/>
  <c r="K83" i="2"/>
  <c r="K82" i="2"/>
  <c r="K80" i="2"/>
  <c r="K79" i="2"/>
  <c r="K77" i="2"/>
  <c r="K76" i="2"/>
  <c r="K74" i="2"/>
  <c r="K73" i="2"/>
  <c r="K72" i="2"/>
  <c r="K69" i="2"/>
  <c r="K68" i="2"/>
  <c r="K65" i="2"/>
  <c r="K62" i="2"/>
  <c r="K61" i="2"/>
  <c r="K58" i="2"/>
  <c r="K57" i="2"/>
  <c r="K56" i="2"/>
  <c r="K55" i="2"/>
  <c r="K49" i="2"/>
  <c r="K48" i="2"/>
  <c r="K47" i="2"/>
  <c r="K46" i="2"/>
  <c r="K45" i="2"/>
  <c r="K44" i="2"/>
  <c r="K43" i="2"/>
  <c r="K42" i="2"/>
  <c r="K41" i="2"/>
  <c r="K40" i="2"/>
  <c r="K36" i="2"/>
  <c r="K35" i="2"/>
  <c r="K31" i="2"/>
  <c r="K30" i="2"/>
  <c r="K29" i="2"/>
  <c r="K28" i="2"/>
  <c r="K27" i="2"/>
  <c r="K24" i="2"/>
  <c r="K23" i="2"/>
  <c r="K22" i="2"/>
  <c r="K21" i="2"/>
  <c r="K20" i="2"/>
  <c r="K19" i="2"/>
  <c r="K18" i="2"/>
  <c r="K17" i="2"/>
  <c r="K16" i="2"/>
  <c r="K14" i="2"/>
  <c r="K13" i="2"/>
  <c r="K12" i="2"/>
  <c r="K11" i="2"/>
  <c r="K10" i="2"/>
  <c r="K9" i="2"/>
  <c r="K8" i="2"/>
  <c r="K7" i="2"/>
  <c r="K6" i="2"/>
  <c r="K5" i="2"/>
  <c r="J90" i="2"/>
  <c r="I90" i="2"/>
  <c r="H90" i="2"/>
  <c r="J88" i="2"/>
  <c r="I88" i="2"/>
  <c r="H88" i="2"/>
  <c r="J87" i="2"/>
  <c r="I87" i="2"/>
  <c r="H87" i="2"/>
  <c r="J86" i="2"/>
  <c r="I86" i="2"/>
  <c r="H86" i="2"/>
  <c r="J85" i="2"/>
  <c r="I85" i="2"/>
  <c r="H85" i="2"/>
  <c r="J83" i="2"/>
  <c r="I83" i="2"/>
  <c r="H83" i="2"/>
  <c r="J82" i="2"/>
  <c r="I82" i="2"/>
  <c r="H82" i="2"/>
  <c r="J80" i="2"/>
  <c r="I80" i="2"/>
  <c r="H80" i="2"/>
  <c r="J79" i="2"/>
  <c r="I79" i="2"/>
  <c r="H79" i="2"/>
  <c r="J77" i="2"/>
  <c r="I77" i="2"/>
  <c r="H77" i="2"/>
  <c r="J76" i="2"/>
  <c r="I76" i="2"/>
  <c r="H76" i="2"/>
  <c r="J74" i="2"/>
  <c r="I74" i="2"/>
  <c r="H74" i="2"/>
  <c r="J73" i="2"/>
  <c r="I73" i="2"/>
  <c r="H73" i="2"/>
  <c r="J72" i="2"/>
  <c r="I72" i="2"/>
  <c r="H72" i="2"/>
  <c r="J69" i="2"/>
  <c r="I69" i="2"/>
  <c r="H69" i="2"/>
  <c r="J68" i="2"/>
  <c r="I68" i="2"/>
  <c r="H68" i="2"/>
  <c r="J65" i="2"/>
  <c r="I65" i="2"/>
  <c r="H65" i="2"/>
  <c r="J62" i="2"/>
  <c r="I62" i="2"/>
  <c r="H62" i="2"/>
  <c r="J61" i="2"/>
  <c r="I61" i="2"/>
  <c r="H61" i="2"/>
  <c r="J58" i="2"/>
  <c r="I58" i="2"/>
  <c r="H58" i="2"/>
  <c r="J57" i="2"/>
  <c r="I57" i="2"/>
  <c r="H57" i="2"/>
  <c r="J56" i="2"/>
  <c r="I56" i="2"/>
  <c r="H56" i="2"/>
  <c r="J55" i="2"/>
  <c r="I55" i="2"/>
  <c r="H55" i="2"/>
  <c r="J49" i="2"/>
  <c r="I49" i="2"/>
  <c r="H49" i="2"/>
  <c r="J48" i="2"/>
  <c r="I48" i="2"/>
  <c r="H48" i="2"/>
  <c r="J47" i="2"/>
  <c r="I47" i="2"/>
  <c r="H47" i="2"/>
  <c r="J46" i="2"/>
  <c r="I46" i="2"/>
  <c r="H46" i="2"/>
  <c r="J45" i="2"/>
  <c r="I45" i="2"/>
  <c r="H45" i="2"/>
  <c r="J44" i="2"/>
  <c r="I44" i="2"/>
  <c r="H44" i="2"/>
  <c r="J43" i="2"/>
  <c r="I43" i="2"/>
  <c r="H43" i="2"/>
  <c r="J42" i="2"/>
  <c r="I42" i="2"/>
  <c r="H42" i="2"/>
  <c r="J41" i="2"/>
  <c r="I41" i="2"/>
  <c r="H41" i="2"/>
  <c r="J40" i="2"/>
  <c r="I40" i="2"/>
  <c r="H40" i="2"/>
  <c r="J36" i="2"/>
  <c r="I36" i="2"/>
  <c r="H36" i="2"/>
  <c r="J35" i="2"/>
  <c r="I35" i="2"/>
  <c r="H35" i="2"/>
  <c r="J31" i="2"/>
  <c r="I31" i="2"/>
  <c r="H31" i="2"/>
  <c r="J30" i="2"/>
  <c r="I30" i="2"/>
  <c r="H30" i="2"/>
  <c r="J29" i="2"/>
  <c r="I29" i="2"/>
  <c r="H29" i="2"/>
  <c r="J28" i="2"/>
  <c r="I28" i="2"/>
  <c r="H28" i="2"/>
  <c r="J27" i="2"/>
  <c r="I27" i="2"/>
  <c r="H27" i="2"/>
  <c r="J24" i="2"/>
  <c r="I24" i="2"/>
  <c r="H24" i="2"/>
  <c r="J23" i="2"/>
  <c r="I23" i="2"/>
  <c r="H23" i="2"/>
  <c r="J22" i="2"/>
  <c r="I22" i="2"/>
  <c r="H22" i="2"/>
  <c r="J21" i="2"/>
  <c r="I21" i="2"/>
  <c r="H21" i="2"/>
  <c r="J20" i="2"/>
  <c r="I20" i="2"/>
  <c r="H20" i="2"/>
  <c r="J19" i="2"/>
  <c r="I19" i="2"/>
  <c r="H19" i="2"/>
  <c r="J18" i="2"/>
  <c r="I18" i="2"/>
  <c r="H18" i="2"/>
  <c r="J17" i="2"/>
  <c r="I17" i="2"/>
  <c r="H17" i="2"/>
  <c r="J16" i="2"/>
  <c r="I16" i="2"/>
  <c r="H16" i="2"/>
  <c r="J14" i="2"/>
  <c r="I14" i="2"/>
  <c r="H14" i="2"/>
  <c r="J13" i="2"/>
  <c r="I13" i="2"/>
  <c r="H13" i="2"/>
  <c r="J12" i="2"/>
  <c r="I12" i="2"/>
  <c r="H12" i="2"/>
  <c r="J11" i="2"/>
  <c r="I11" i="2"/>
  <c r="H11" i="2"/>
  <c r="J10" i="2"/>
  <c r="I10" i="2"/>
  <c r="H10" i="2"/>
  <c r="J9" i="2"/>
  <c r="I9" i="2"/>
  <c r="H9" i="2"/>
  <c r="J8" i="2"/>
  <c r="I8" i="2"/>
  <c r="H8" i="2"/>
  <c r="J7" i="2"/>
  <c r="I7" i="2"/>
  <c r="H7" i="2"/>
  <c r="J6" i="2"/>
  <c r="I6" i="2"/>
  <c r="H6" i="2"/>
  <c r="J5" i="2"/>
  <c r="I5" i="2"/>
  <c r="H5" i="2"/>
</calcChain>
</file>

<file path=xl/sharedStrings.xml><?xml version="1.0" encoding="utf-8"?>
<sst xmlns="http://schemas.openxmlformats.org/spreadsheetml/2006/main" count="133" uniqueCount="40">
  <si>
    <t>Seskupovat body v dosahu:</t>
  </si>
  <si>
    <t>m</t>
  </si>
  <si>
    <t>Vytyčení/zaměření:</t>
  </si>
  <si>
    <t>Y</t>
  </si>
  <si>
    <t>X</t>
  </si>
  <si>
    <t>sk. stav</t>
  </si>
  <si>
    <t>bodu</t>
  </si>
  <si>
    <t>cislo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</si>
  <si>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</si>
  <si>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</si>
  <si>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</si>
  <si>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</si>
  <si>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</si>
  <si>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</si>
  <si>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</si>
  <si>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</si>
  <si>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</si>
  <si>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Zobrazit</t>
  </si>
  <si>
    <t>Zobrazit :</t>
  </si>
  <si>
    <t>z - projekt:</t>
  </si>
  <si>
    <t>y, x - sk. stav:</t>
  </si>
  <si>
    <t>z - sk. stav:</t>
  </si>
  <si>
    <t>y, x - projekt:</t>
  </si>
  <si>
    <t>Popis tabulky :</t>
  </si>
  <si>
    <t>SOURADNICE STREDU DALEB</t>
  </si>
  <si>
    <t>Z txt</t>
  </si>
  <si>
    <t>Adresa txt - vytyceni</t>
  </si>
  <si>
    <t>Adresa txt - zamereni</t>
  </si>
  <si>
    <t>projekt</t>
  </si>
  <si>
    <t>dY</t>
  </si>
  <si>
    <t>dX</t>
  </si>
  <si>
    <t>dQ</t>
  </si>
  <si>
    <t>SOURADNICE ZAMERENÝCH BODU A POROVNÁNÍ S PROJEKTEM_x000D_
SOURADNICE STREDU DALEB</t>
  </si>
  <si>
    <t>Z</t>
  </si>
  <si>
    <t>dZ</t>
  </si>
  <si>
    <t>C:\xx\Dokumentace\Vytvoreni tabulky\cteni_z_vice_slozek\zamereni</t>
  </si>
  <si>
    <t>C:\xx\Dokumentace\Vytvoreni tabulky\cteni_z_vice_slozek\vytyceni</t>
  </si>
  <si>
    <t>...\mereni\24-05-22\bast240522upr.txt</t>
  </si>
  <si>
    <t>...\mereni\24-04-23\bast240423_upr.txt</t>
  </si>
  <si>
    <t>...\mereni\24-06-06\bast_240606_zam_pil.txt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</si>
</sst>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b/>
      <sz val="11"/>
      <color theme="0" tint="-0.34998626667073579"/>
      <name val="Calibri"/>
      <family val="2"/>
      <charset val="238"/>
      <scheme val="minor"/>
    </font>
    <font>
      <sz val="11"/>
      <color theme="0" tint="-0.34998626667073579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3" fillId="0" borderId="0" xfId="0" applyFont="1" applyAlignment="1">
      <alignment horizontal="center"/>
    </xf>
    <xf numFmtId="164" fontId="0" fillId="0" borderId="8" xfId="0" applyNumberFormat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/>
    <xf numFmtId="0" fontId="0" fillId="0" borderId="7" xfId="0" applyBorder="1" applyAlignment="1">
      <alignment horizontal="center" wrapText="1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10" xfId="0" applyBorder="1" applyAlignment="1">
      <alignment horizontal="center" wrapText="1"/>
    </xf>
    <xf numFmtId="164" fontId="0" fillId="0" borderId="10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164" fontId="2" fillId="2" borderId="1" xfId="0" applyNumberFormat="1" applyFont="1" applyFill="1" applyBorder="1" applyAlignment="1">
      <alignment horizontal="center" vertical="center" wrapText="1"/>
    </xf>
    <xf numFmtId="164" fontId="2" fillId="2" borderId="3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top" wrapText="1"/>
    </xf>
    <xf numFmtId="164" fontId="2" fillId="2" borderId="1" xfId="0" applyNumberFormat="1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center" vertical="top" wrapText="1"/>
    </xf>
    <xf numFmtId="164" fontId="2" fillId="2" borderId="3" xfId="0" applyNumberFormat="1" applyFont="1" applyFill="1" applyBorder="1" applyAlignment="1">
      <alignment horizontal="center" vertical="top" wrapText="1"/>
    </xf>
    <xf numFmtId="164" fontId="0" fillId="0" borderId="11" xfId="0" applyNumberFormat="1" applyBorder="1" applyAlignment="1">
      <alignment horizontal="center"/>
    </xf>
    <xf numFmtId="164" fontId="2" fillId="2" borderId="1" xfId="0" applyNumberFormat="1" applyFont="1" applyFill="1" applyBorder="1" applyAlignment="1">
      <alignment horizontal="center" vertical="center"/>
    </xf>
    <xf numFmtId="164" fontId="2" fillId="2" borderId="3" xfId="0" applyNumberFormat="1" applyFont="1" applyFill="1" applyBorder="1" applyAlignment="1">
      <alignment horizontal="center" vertical="center"/>
    </xf>
    <xf numFmtId="164" fontId="2" fillId="2" borderId="4" xfId="0" applyNumberFormat="1" applyFont="1" applyFill="1" applyBorder="1" applyAlignment="1">
      <alignment horizontal="center" vertical="center"/>
    </xf>
    <xf numFmtId="164" fontId="2" fillId="2" borderId="12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vertical="center"/>
    </xf>
    <xf numFmtId="164" fontId="2" fillId="2" borderId="3" xfId="0" applyNumberFormat="1" applyFont="1" applyFill="1" applyBorder="1" applyAlignment="1">
      <alignment horizontal="center" vertical="center"/>
    </xf>
    <xf numFmtId="0" fontId="0" fillId="0" borderId="0" xfId="0" applyBorder="1"/>
    <xf numFmtId="0" fontId="2" fillId="0" borderId="0" xfId="0" applyFont="1" applyBorder="1" applyAlignment="1">
      <alignment horizontal="center" vertical="center" wrapText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ální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11</xdr:row>
          <xdr:rowOff>95250</xdr:rowOff>
        </xdr:from>
        <xdr:to>
          <xdr:col>2</xdr:col>
          <xdr:colOff>228600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seskup body a generuj tabulku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DD194-8E30-4250-90C6-906F4D8F612B}">
  <sheetPr codeName="List1"/>
  <dimension ref="A1:C28"/>
  <sheetViews>
    <sheetView topLeftCell="A7" workbookViewId="0">
      <selection activeCell="D12" sqref="D12"/>
    </sheetView>
  </sheetViews>
  <sheetFormatPr defaultRowHeight="15" x14ac:dyDescent="0.25"/>
  <cols>
    <col min="1" max="1" width="31.5703125" customWidth="1"/>
  </cols>
  <sheetData>
    <row r="1" spans="1:3" x14ac:dyDescent="0.25">
      <c r="A1" s="1" t="s">
        <v>26</v>
      </c>
    </row>
    <row r="2" spans="1:3" x14ac:dyDescent="0.25">
      <c r="A2" t="s">
        <v>36</v>
      </c>
    </row>
    <row r="4" spans="1:3" x14ac:dyDescent="0.25">
      <c r="A4" s="1" t="s">
        <v>27</v>
      </c>
    </row>
    <row r="5" spans="1:3" x14ac:dyDescent="0.25">
      <c r="A5" t="s">
        <v>35</v>
      </c>
    </row>
    <row r="8" spans="1:3" x14ac:dyDescent="0.25">
      <c r="A8" s="1" t="s">
        <v>0</v>
      </c>
      <c r="B8" s="7">
        <v>1</v>
      </c>
      <c r="C8" s="1" t="s">
        <v>1</v>
      </c>
    </row>
    <row r="10" spans="1:3" x14ac:dyDescent="0.25">
      <c r="A10" s="1" t="s">
        <v>2</v>
      </c>
      <c r="B10" s="3" t="s">
        <v>25</v>
      </c>
    </row>
    <row r="12" spans="1:3" x14ac:dyDescent="0.25">
      <c r="A12" s="9"/>
      <c r="B12" s="10"/>
    </row>
    <row r="13" spans="1:3" x14ac:dyDescent="0.25">
      <c r="A13" s="11"/>
      <c r="B13" s="11"/>
    </row>
    <row r="20" spans="1:2" x14ac:dyDescent="0.25">
      <c r="A20" s="1" t="s">
        <v>18</v>
      </c>
    </row>
    <row r="21" spans="1:2" x14ac:dyDescent="0.25">
      <c r="A21" s="17" t="s">
        <v>22</v>
      </c>
      <c r="B21" s="7" t="s">
        <v>17</v>
      </c>
    </row>
    <row r="22" spans="1:2" x14ac:dyDescent="0.25">
      <c r="A22" s="17" t="s">
        <v>19</v>
      </c>
      <c r="B22" s="7" t="s">
        <v>17</v>
      </c>
    </row>
    <row r="23" spans="1:2" x14ac:dyDescent="0.25">
      <c r="A23" s="17" t="s">
        <v>20</v>
      </c>
      <c r="B23" s="7" t="s">
        <v>17</v>
      </c>
    </row>
    <row r="24" spans="1:2" x14ac:dyDescent="0.25">
      <c r="A24" s="17" t="s">
        <v>21</v>
      </c>
      <c r="B24" s="7" t="s">
        <v>17</v>
      </c>
    </row>
    <row r="27" spans="1:2" x14ac:dyDescent="0.25">
      <c r="A27" s="1" t="s">
        <v>23</v>
      </c>
    </row>
    <row r="28" spans="1:2" x14ac:dyDescent="0.25">
      <c r="A28" s="7" t="s">
        <v>24</v>
      </c>
    </row>
  </sheetData>
  <dataConsolidate/>
  <dataValidations count="3">
    <dataValidation type="list" allowBlank="1" showInputMessage="1" showErrorMessage="1" sqref="K12 B10" xr:uid="{B662DD82-05A0-4F93-A52D-F6A178B62047}">
      <formula1>"Z txt,Z Excelu"</formula1>
    </dataValidation>
    <dataValidation type="list" allowBlank="1" showInputMessage="1" showErrorMessage="1" sqref="B21:B24" xr:uid="{51A53216-2108-4F32-9554-07D4988991D0}">
      <formula1>"Zobrazit, Skrýt"</formula1>
    </dataValidation>
    <dataValidation type="list" allowBlank="1" showInputMessage="1" showErrorMessage="1" sqref="A28" xr:uid="{37E92895-E3F7-4016-B7B1-8ABCC2B06917}">
      <formula1>"SOURADNICE STREDU DALEB, SOURADNICE STREDU PILOT, SOURADNICE STREDU MIKROPILOT"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ctiVytyceniAZamereni">
                <anchor moveWithCells="1" sizeWithCells="1">
                  <from>
                    <xdr:col>0</xdr:col>
                    <xdr:colOff>95250</xdr:colOff>
                    <xdr:row>11</xdr:row>
                    <xdr:rowOff>95250</xdr:rowOff>
                  </from>
                  <to>
                    <xdr:col>2</xdr:col>
                    <xdr:colOff>228600</xdr:colOff>
                    <xdr:row>15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59567-E2A1-43D9-9B03-B896C50CF4D7}">
  <sheetPr codeName="List2"/>
  <dimension ref="A1:T97"/>
  <sheetViews>
    <sheetView tabSelected="1" topLeftCell="A22" workbookViewId="0">
      <selection activeCell="K3" sqref="K3:K4"/>
    </sheetView>
  </sheetViews>
  <sheetFormatPr defaultRowHeight="15" x14ac:dyDescent="0.25"/>
  <cols>
    <col min="1" max="1" width="7.5703125" customWidth="1"/>
    <col min="2" max="2" width="12.5703125" style="14" customWidth="1"/>
    <col min="3" max="3" width="13.5703125" style="14" customWidth="1"/>
    <col min="4" max="4" width="9.42578125" style="14" customWidth="1"/>
    <col min="5" max="5" width="12.5703125" style="14" customWidth="1"/>
    <col min="6" max="6" width="13.5703125" style="14" customWidth="1"/>
    <col min="7" max="7" width="9.5703125" style="14" customWidth="1"/>
    <col min="8" max="8" width="8.28515625" style="14" customWidth="1"/>
    <col min="9" max="9" width="8.28515625" style="13" customWidth="1"/>
    <col min="10" max="10" width="7.5703125" style="13" customWidth="1"/>
    <col min="11" max="11" width="9.5703125" style="13" customWidth="1"/>
    <col min="12" max="12" width="4.42578125" customWidth="1"/>
    <col min="13" max="13" width="2.5703125" customWidth="1"/>
    <col min="14" max="15" width="2.7109375" customWidth="1"/>
    <col min="16" max="16" width="2.28515625" customWidth="1"/>
    <col min="17" max="17" width="6" customWidth="1"/>
    <col min="18" max="18" width="3.7109375" customWidth="1"/>
    <col min="19" max="19" width="2.42578125" customWidth="1"/>
    <col min="20" max="20" width="43.7109375" customWidth="1"/>
  </cols>
  <sheetData>
    <row r="1" spans="1:20" ht="15" customHeight="1" x14ac:dyDescent="0.25">
      <c r="A1" s="29" t="s">
        <v>32</v>
      </c>
      <c r="B1" s="30"/>
      <c r="C1" s="30"/>
      <c r="D1" s="30"/>
      <c r="E1" s="30"/>
      <c r="F1" s="30"/>
      <c r="G1" s="30"/>
      <c r="H1" s="30"/>
      <c r="I1" s="30"/>
      <c r="J1" s="30"/>
      <c r="K1" s="31"/>
      <c r="L1" s="36"/>
      <c r="M1" s="36"/>
      <c r="N1" s="36"/>
      <c r="O1" s="36"/>
      <c r="P1" s="36"/>
      <c r="Q1" s="36"/>
      <c r="R1" s="36"/>
      <c r="S1" s="36"/>
      <c r="T1" s="36"/>
    </row>
    <row r="2" spans="1:20" ht="15" customHeight="1" thickBot="1" x14ac:dyDescent="0.3">
      <c r="A2" s="32"/>
      <c r="B2" s="37"/>
      <c r="C2" s="37"/>
      <c r="D2" s="37"/>
      <c r="E2" s="37"/>
      <c r="F2" s="37"/>
      <c r="G2" s="37"/>
      <c r="H2" s="37"/>
      <c r="I2" s="37"/>
      <c r="J2" s="37"/>
      <c r="K2" s="33"/>
      <c r="L2" s="36"/>
      <c r="M2" s="36"/>
      <c r="N2" s="36"/>
      <c r="O2" s="36"/>
      <c r="P2" s="36"/>
      <c r="Q2" s="36"/>
      <c r="R2" s="36"/>
      <c r="S2" s="36"/>
      <c r="T2" s="36"/>
    </row>
    <row r="3" spans="1:20" ht="15" customHeight="1" x14ac:dyDescent="0.25">
      <c r="A3" s="20" t="s">
        <v>7</v>
      </c>
      <c r="B3" s="21" t="s">
        <v>3</v>
      </c>
      <c r="C3" s="18" t="s">
        <v>4</v>
      </c>
      <c r="D3" s="18" t="s">
        <v>33</v>
      </c>
      <c r="E3" s="18" t="s">
        <v>3</v>
      </c>
      <c r="F3" s="18" t="s">
        <v>4</v>
      </c>
      <c r="G3" s="25" t="s">
        <v>33</v>
      </c>
      <c r="H3" s="34" t="s">
        <v>29</v>
      </c>
      <c r="I3" s="34" t="s">
        <v>30</v>
      </c>
      <c r="J3" s="34" t="s">
        <v>31</v>
      </c>
      <c r="K3" s="27" t="s">
        <v>34</v>
      </c>
      <c r="L3" s="36"/>
      <c r="M3" s="36"/>
      <c r="N3" s="36"/>
      <c r="O3" s="36"/>
      <c r="P3" s="36"/>
      <c r="Q3" s="36"/>
      <c r="R3" s="36"/>
      <c r="S3" s="36"/>
      <c r="T3" s="36"/>
    </row>
    <row r="4" spans="1:20" ht="15.75" thickBot="1" x14ac:dyDescent="0.3">
      <c r="A4" s="22" t="s">
        <v>6</v>
      </c>
      <c r="B4" s="23" t="s">
        <v>28</v>
      </c>
      <c r="C4" s="19" t="s">
        <v>28</v>
      </c>
      <c r="D4" s="19" t="s">
        <v>28</v>
      </c>
      <c r="E4" s="19" t="s">
        <v>5</v>
      </c>
      <c r="F4" s="19" t="s">
        <v>5</v>
      </c>
      <c r="G4" s="26" t="s">
        <v>5</v>
      </c>
      <c r="H4" s="35"/>
      <c r="I4" s="35"/>
      <c r="J4" s="35"/>
      <c r="K4" s="28"/>
      <c r="L4" s="36"/>
      <c r="M4" s="36"/>
      <c r="N4" s="36"/>
      <c r="O4" s="36"/>
      <c r="P4" s="36"/>
      <c r="Q4" s="36"/>
      <c r="R4" s="36"/>
      <c r="S4" s="36"/>
      <c r="T4" s="36"/>
    </row>
    <row r="5" spans="1:20" x14ac:dyDescent="0.25">
      <c r="A5" s="15">
        <v>101</v>
      </c>
      <c r="B5" s="16">
        <v>737282.26599999995</v>
      </c>
      <c r="C5" s="16">
        <v>1030718.47</v>
      </c>
      <c r="D5" s="16">
        <v>0</v>
      </c>
      <c r="E5" s="16">
        <v>737282.26199999999</v>
      </c>
      <c r="F5" s="16">
        <v>1030718.437</v>
      </c>
      <c r="G5" s="16">
        <v>225.25200000000001</v>
      </c>
      <c r="H5" s="16">
        <f>B5-E5</f>
        <v>3.9999999571591616E-3</v>
      </c>
      <c r="I5" s="16">
        <f>C5-F5</f>
        <v>3.2999999937601388E-2</v>
      </c>
      <c r="J5" s="16">
        <f>SQRT(POWER(H5,2)+POWER(I5,2))</f>
        <v>3.3241540210089016E-2</v>
      </c>
      <c r="K5" s="24">
        <f>G5-D5</f>
        <v>225.25200000000001</v>
      </c>
      <c r="L5" s="36"/>
      <c r="M5" s="36"/>
      <c r="N5" s="36"/>
      <c r="O5" s="36"/>
      <c r="P5" s="36"/>
      <c r="Q5" s="36">
        <v>101</v>
      </c>
      <c r="R5" s="36"/>
      <c r="S5" s="36"/>
      <c r="T5" s="36" t="s">
        <v>37</v>
      </c>
    </row>
    <row r="6" spans="1:20" x14ac:dyDescent="0.25">
      <c r="A6" s="12">
        <v>102</v>
      </c>
      <c r="B6" s="5">
        <v>737283.446</v>
      </c>
      <c r="C6" s="5">
        <v>1030720.7610000001</v>
      </c>
      <c r="D6" s="5">
        <v>0</v>
      </c>
      <c r="E6" s="5">
        <v>737283.46100000001</v>
      </c>
      <c r="F6" s="5">
        <v>1030720.774</v>
      </c>
      <c r="G6" s="5">
        <v>225.239</v>
      </c>
      <c r="H6" s="5">
        <f>B6-E6</f>
        <v>-1.5000000013969839E-2</v>
      </c>
      <c r="I6" s="5">
        <f>C6-F6</f>
        <v>-1.2999999918974936E-2</v>
      </c>
      <c r="J6" s="5">
        <f>SQRT(POWER(H6,2)+POWER(I6,2))</f>
        <v>1.9849433198770274E-2</v>
      </c>
      <c r="K6" s="4">
        <f>G6-D6</f>
        <v>225.239</v>
      </c>
      <c r="L6" s="36"/>
      <c r="M6" s="36"/>
      <c r="N6" s="36"/>
      <c r="O6" s="36"/>
      <c r="P6" s="36"/>
      <c r="Q6" s="36">
        <v>102</v>
      </c>
      <c r="R6" s="36"/>
      <c r="S6" s="36"/>
      <c r="T6" s="36" t="s">
        <v>37</v>
      </c>
    </row>
    <row r="7" spans="1:20" x14ac:dyDescent="0.25">
      <c r="A7" s="12">
        <v>103</v>
      </c>
      <c r="B7" s="5">
        <v>737284.63699999999</v>
      </c>
      <c r="C7" s="5">
        <v>1030722.868</v>
      </c>
      <c r="D7" s="5">
        <v>0</v>
      </c>
      <c r="E7" s="5">
        <v>737284.62800000003</v>
      </c>
      <c r="F7" s="5">
        <v>1030722.848</v>
      </c>
      <c r="G7" s="5">
        <v>225.24</v>
      </c>
      <c r="H7" s="5">
        <f>B7-E7</f>
        <v>8.9999999618157744E-3</v>
      </c>
      <c r="I7" s="5">
        <f>C7-F7</f>
        <v>2.0000000018626451E-2</v>
      </c>
      <c r="J7" s="5">
        <f>SQRT(POWER(H7,2)+POWER(I7,2))</f>
        <v>2.1931712200777713E-2</v>
      </c>
      <c r="K7" s="4">
        <f>G7-D7</f>
        <v>225.24</v>
      </c>
      <c r="L7" s="36"/>
      <c r="M7" s="36"/>
      <c r="N7" s="36"/>
      <c r="O7" s="36"/>
      <c r="P7" s="36"/>
      <c r="Q7" s="36">
        <v>103</v>
      </c>
      <c r="R7" s="36"/>
      <c r="S7" s="36"/>
      <c r="T7" s="36" t="s">
        <v>37</v>
      </c>
    </row>
    <row r="8" spans="1:20" x14ac:dyDescent="0.25">
      <c r="A8" s="12">
        <v>104</v>
      </c>
      <c r="B8" s="5">
        <v>737285.81499999994</v>
      </c>
      <c r="C8" s="5">
        <v>1030724.953</v>
      </c>
      <c r="D8" s="5">
        <v>0</v>
      </c>
      <c r="E8" s="5">
        <v>737285.848</v>
      </c>
      <c r="F8" s="5">
        <v>1030724.981</v>
      </c>
      <c r="G8" s="5">
        <v>225.20099999999999</v>
      </c>
      <c r="H8" s="5">
        <f>B8-E8</f>
        <v>-3.3000000054016709E-2</v>
      </c>
      <c r="I8" s="5">
        <f>C8-F8</f>
        <v>-2.8000000049360096E-2</v>
      </c>
      <c r="J8" s="5">
        <f>SQRT(POWER(H8,2)+POWER(I8,2))</f>
        <v>4.3278170089887907E-2</v>
      </c>
      <c r="K8" s="4">
        <f>G8-D8</f>
        <v>225.20099999999999</v>
      </c>
      <c r="L8" s="36"/>
      <c r="M8" s="36"/>
      <c r="N8" s="36"/>
      <c r="O8" s="36"/>
      <c r="P8" s="36"/>
      <c r="Q8" s="36">
        <v>104</v>
      </c>
      <c r="R8" s="36"/>
      <c r="S8" s="36"/>
      <c r="T8" s="36" t="s">
        <v>38</v>
      </c>
    </row>
    <row r="9" spans="1:20" x14ac:dyDescent="0.25">
      <c r="A9" s="12">
        <v>105</v>
      </c>
      <c r="B9" s="5">
        <v>737287.01899999997</v>
      </c>
      <c r="C9" s="5">
        <v>1030727.081</v>
      </c>
      <c r="D9" s="5">
        <v>0</v>
      </c>
      <c r="E9" s="5">
        <v>737287.03799999994</v>
      </c>
      <c r="F9" s="5">
        <v>1030727.1310000001</v>
      </c>
      <c r="G9" s="5">
        <v>225.22900000000001</v>
      </c>
      <c r="H9" s="5">
        <f>B9-E9</f>
        <v>-1.8999999971129E-2</v>
      </c>
      <c r="I9" s="5">
        <f>C9-F9</f>
        <v>-5.0000000046566129E-2</v>
      </c>
      <c r="J9" s="5">
        <f>SQRT(POWER(H9,2)+POWER(I9,2))</f>
        <v>5.3488316514539086E-2</v>
      </c>
      <c r="K9" s="4">
        <f>G9-D9</f>
        <v>225.22900000000001</v>
      </c>
      <c r="L9" s="36"/>
      <c r="M9" s="36"/>
      <c r="N9" s="36"/>
      <c r="O9" s="36"/>
      <c r="P9" s="36"/>
      <c r="Q9" s="36">
        <v>105</v>
      </c>
      <c r="R9" s="36"/>
      <c r="S9" s="36"/>
      <c r="T9" s="36" t="s">
        <v>37</v>
      </c>
    </row>
    <row r="10" spans="1:20" x14ac:dyDescent="0.25">
      <c r="A10" s="12">
        <v>106</v>
      </c>
      <c r="B10" s="5">
        <v>737288.27099999995</v>
      </c>
      <c r="C10" s="5">
        <v>1030729.297</v>
      </c>
      <c r="D10" s="5">
        <v>0</v>
      </c>
      <c r="E10" s="5">
        <v>737288.31299999997</v>
      </c>
      <c r="F10" s="5">
        <v>1030729.281</v>
      </c>
      <c r="G10" s="5">
        <v>225.21799999999999</v>
      </c>
      <c r="H10" s="5">
        <f>B10-E10</f>
        <v>-4.2000000015832484E-2</v>
      </c>
      <c r="I10" s="5">
        <f>C10-F10</f>
        <v>1.600000006146729E-2</v>
      </c>
      <c r="J10" s="5">
        <f>SQRT(POWER(H10,2)+POWER(I10,2))</f>
        <v>4.4944410145165793E-2</v>
      </c>
      <c r="K10" s="4">
        <f>G10-D10</f>
        <v>225.21799999999999</v>
      </c>
      <c r="L10" s="36"/>
      <c r="M10" s="36"/>
      <c r="N10" s="36"/>
      <c r="O10" s="36"/>
      <c r="P10" s="36"/>
      <c r="Q10" s="36">
        <v>106</v>
      </c>
      <c r="R10" s="36"/>
      <c r="S10" s="36"/>
      <c r="T10" s="36" t="s">
        <v>38</v>
      </c>
    </row>
    <row r="11" spans="1:20" x14ac:dyDescent="0.25">
      <c r="A11" s="12">
        <v>107</v>
      </c>
      <c r="B11" s="5">
        <v>737289.47400000005</v>
      </c>
      <c r="C11" s="5">
        <v>1030731.425</v>
      </c>
      <c r="D11" s="5">
        <v>0</v>
      </c>
      <c r="E11" s="5">
        <v>737289.40899999999</v>
      </c>
      <c r="F11" s="5">
        <v>1030731.464</v>
      </c>
      <c r="G11" s="5">
        <v>225.27500000000001</v>
      </c>
      <c r="H11" s="5">
        <f>B11-E11</f>
        <v>6.5000000060535967E-2</v>
      </c>
      <c r="I11" s="5">
        <f>C11-F11</f>
        <v>-3.8999999989755452E-2</v>
      </c>
      <c r="J11" s="5">
        <f>SQRT(POWER(H11,2)+POWER(I11,2))</f>
        <v>7.5802374679627291E-2</v>
      </c>
      <c r="K11" s="4">
        <f>G11-D11</f>
        <v>225.27500000000001</v>
      </c>
      <c r="L11" s="36"/>
      <c r="M11" s="36"/>
      <c r="N11" s="36"/>
      <c r="O11" s="36"/>
      <c r="P11" s="36"/>
      <c r="Q11" s="36">
        <v>107</v>
      </c>
      <c r="R11" s="36"/>
      <c r="S11" s="36"/>
      <c r="T11" s="36" t="s">
        <v>37</v>
      </c>
    </row>
    <row r="12" spans="1:20" x14ac:dyDescent="0.25">
      <c r="A12" s="12">
        <v>108</v>
      </c>
      <c r="B12" s="5">
        <v>737290.66500000004</v>
      </c>
      <c r="C12" s="5">
        <v>1030733.532</v>
      </c>
      <c r="D12" s="5">
        <v>0</v>
      </c>
      <c r="E12" s="5">
        <v>737290.69799999997</v>
      </c>
      <c r="F12" s="5">
        <v>1030733.536</v>
      </c>
      <c r="G12" s="5">
        <v>225.22300000000001</v>
      </c>
      <c r="H12" s="5">
        <f>B12-E12</f>
        <v>-3.2999999937601388E-2</v>
      </c>
      <c r="I12" s="5">
        <f>C12-F12</f>
        <v>-3.9999999571591616E-3</v>
      </c>
      <c r="J12" s="5">
        <f>SQRT(POWER(H12,2)+POWER(I12,2))</f>
        <v>3.3241540210089016E-2</v>
      </c>
      <c r="K12" s="4">
        <f>G12-D12</f>
        <v>225.22300000000001</v>
      </c>
      <c r="L12" s="36"/>
      <c r="M12" s="36"/>
      <c r="N12" s="36"/>
      <c r="O12" s="36"/>
      <c r="P12" s="36"/>
      <c r="Q12" s="36">
        <v>108</v>
      </c>
      <c r="R12" s="36"/>
      <c r="S12" s="36"/>
      <c r="T12" s="36" t="s">
        <v>38</v>
      </c>
    </row>
    <row r="13" spans="1:20" x14ac:dyDescent="0.25">
      <c r="A13" s="12">
        <v>109</v>
      </c>
      <c r="B13" s="5">
        <v>737292.01399999997</v>
      </c>
      <c r="C13" s="5">
        <v>1030735.716</v>
      </c>
      <c r="D13" s="5">
        <v>0</v>
      </c>
      <c r="E13" s="5">
        <v>737292.08200000005</v>
      </c>
      <c r="F13" s="5">
        <v>1030735.7610000001</v>
      </c>
      <c r="G13" s="5">
        <v>225.244</v>
      </c>
      <c r="H13" s="5">
        <f>B13-E13</f>
        <v>-6.8000000086612999E-2</v>
      </c>
      <c r="I13" s="5">
        <f>C13-F13</f>
        <v>-4.5000000041909516E-2</v>
      </c>
      <c r="J13" s="5">
        <f>SQRT(POWER(H13,2)+POWER(I13,2))</f>
        <v>8.15414006229426E-2</v>
      </c>
      <c r="K13" s="4">
        <f>G13-D13</f>
        <v>225.244</v>
      </c>
      <c r="L13" s="36"/>
      <c r="M13" s="36"/>
      <c r="N13" s="36"/>
      <c r="O13" s="36"/>
      <c r="P13" s="36"/>
      <c r="Q13" s="36">
        <v>109</v>
      </c>
      <c r="R13" s="36"/>
      <c r="S13" s="36"/>
      <c r="T13" s="36" t="s">
        <v>37</v>
      </c>
    </row>
    <row r="14" spans="1:20" x14ac:dyDescent="0.25">
      <c r="A14" s="38">
        <v>110</v>
      </c>
      <c r="B14" s="5">
        <v>737278.29399999999</v>
      </c>
      <c r="C14" s="5">
        <v>1030720.4570000001</v>
      </c>
      <c r="D14" s="5">
        <v>0</v>
      </c>
      <c r="E14" s="5">
        <v>737278.34600000002</v>
      </c>
      <c r="F14" s="5">
        <v>1030720.42</v>
      </c>
      <c r="G14" s="5">
        <v>225.23699999999999</v>
      </c>
      <c r="H14" s="5">
        <f>B14-E14</f>
        <v>-5.200000002514571E-2</v>
      </c>
      <c r="I14" s="5">
        <f>C14-F14</f>
        <v>3.7000000011175871E-2</v>
      </c>
      <c r="J14" s="5">
        <f>SQRT(POWER(H14,2)+POWER(I14,2))</f>
        <v>6.3820059569403162E-2</v>
      </c>
      <c r="K14" s="4">
        <f>G14-D14</f>
        <v>225.23699999999999</v>
      </c>
      <c r="L14" s="36"/>
      <c r="M14" s="36"/>
      <c r="N14" s="36"/>
      <c r="O14" s="36"/>
      <c r="P14" s="36"/>
      <c r="Q14" s="36">
        <v>110</v>
      </c>
      <c r="R14" s="36"/>
      <c r="S14" s="36"/>
      <c r="T14" s="36" t="s">
        <v>37</v>
      </c>
    </row>
    <row r="15" spans="1:20" x14ac:dyDescent="0.25">
      <c r="A15" s="38">
        <v>111</v>
      </c>
      <c r="B15" s="5">
        <v>737276.53599999996</v>
      </c>
      <c r="C15" s="5">
        <v>1030721.451</v>
      </c>
      <c r="D15" s="5">
        <v>0</v>
      </c>
      <c r="E15" s="5">
        <v>737278.34600000002</v>
      </c>
      <c r="F15" s="5"/>
      <c r="G15" s="5"/>
      <c r="H15" s="5"/>
      <c r="I15" s="5"/>
      <c r="J15" s="5"/>
      <c r="K15" s="4"/>
      <c r="L15" s="36"/>
      <c r="M15" s="36"/>
      <c r="N15" s="36"/>
      <c r="O15" s="36"/>
      <c r="P15" s="36"/>
      <c r="Q15" s="36">
        <v>110</v>
      </c>
      <c r="R15" s="36"/>
      <c r="S15" s="36"/>
      <c r="T15" s="36" t="s">
        <v>37</v>
      </c>
    </row>
    <row r="16" spans="1:20" x14ac:dyDescent="0.25">
      <c r="A16" s="38">
        <v>112</v>
      </c>
      <c r="B16" s="5">
        <v>737283.93500000006</v>
      </c>
      <c r="C16" s="5">
        <v>1030726.0159999999</v>
      </c>
      <c r="D16" s="5">
        <v>0</v>
      </c>
      <c r="E16" s="5">
        <v>737283.96400000004</v>
      </c>
      <c r="F16" s="5">
        <v>1030726.014</v>
      </c>
      <c r="G16" s="5">
        <v>225.23099999999999</v>
      </c>
      <c r="H16" s="5">
        <f>B16-E16</f>
        <v>-2.8999999980442226E-2</v>
      </c>
      <c r="I16" s="5">
        <f>C16-F16</f>
        <v>1.9999999785795808E-3</v>
      </c>
      <c r="J16" s="5">
        <f>SQRT(POWER(H16,2)+POWER(I16,2))</f>
        <v>2.9068883686512066E-2</v>
      </c>
      <c r="K16" s="4">
        <f>G16-D16</f>
        <v>225.23099999999999</v>
      </c>
      <c r="L16" s="36"/>
      <c r="M16" s="36"/>
      <c r="N16" s="36"/>
      <c r="O16" s="36"/>
      <c r="P16" s="36"/>
      <c r="Q16" s="36">
        <v>112</v>
      </c>
      <c r="R16" s="36"/>
      <c r="S16" s="36"/>
      <c r="T16" s="36" t="s">
        <v>37</v>
      </c>
    </row>
    <row r="17" spans="1:20" x14ac:dyDescent="0.25">
      <c r="A17" s="38">
        <v>113</v>
      </c>
      <c r="B17" s="5">
        <v>737282.22400000005</v>
      </c>
      <c r="C17" s="5">
        <v>1030726.983</v>
      </c>
      <c r="D17" s="5">
        <v>0</v>
      </c>
      <c r="E17" s="5">
        <v>737282.24100000004</v>
      </c>
      <c r="F17" s="5">
        <v>1030726.975</v>
      </c>
      <c r="G17" s="5">
        <v>225.25899999999999</v>
      </c>
      <c r="H17" s="5">
        <f>B17-E17</f>
        <v>-1.6999999992549419E-2</v>
      </c>
      <c r="I17" s="5">
        <f>C17-F17</f>
        <v>8.000000030733645E-3</v>
      </c>
      <c r="J17" s="5">
        <f>SQRT(POWER(H17,2)+POWER(I17,2))</f>
        <v>1.8788294234400805E-2</v>
      </c>
      <c r="K17" s="4">
        <f>G17-D17</f>
        <v>225.25899999999999</v>
      </c>
      <c r="L17" s="36"/>
      <c r="M17" s="36"/>
      <c r="N17" s="36"/>
      <c r="O17" s="36"/>
      <c r="P17" s="36"/>
      <c r="Q17" s="36">
        <v>113</v>
      </c>
      <c r="R17" s="36"/>
      <c r="S17" s="36"/>
      <c r="T17" s="36" t="s">
        <v>37</v>
      </c>
    </row>
    <row r="18" spans="1:20" x14ac:dyDescent="0.25">
      <c r="A18" s="38">
        <v>114</v>
      </c>
      <c r="B18" s="5">
        <v>737280.51399999997</v>
      </c>
      <c r="C18" s="5">
        <v>1030727.95</v>
      </c>
      <c r="D18" s="5">
        <v>0</v>
      </c>
      <c r="E18" s="5">
        <v>737280.51</v>
      </c>
      <c r="F18" s="5">
        <v>1030727.99</v>
      </c>
      <c r="G18" s="5">
        <v>225.24299999999999</v>
      </c>
      <c r="H18" s="5">
        <f>B18-E18</f>
        <v>3.9999999571591616E-3</v>
      </c>
      <c r="I18" s="5">
        <f>C18-F18</f>
        <v>-4.0000000037252903E-2</v>
      </c>
      <c r="J18" s="5">
        <f>SQRT(POWER(H18,2)+POWER(I18,2))</f>
        <v>4.0199502517288759E-2</v>
      </c>
      <c r="K18" s="4">
        <f>G18-D18</f>
        <v>225.24299999999999</v>
      </c>
      <c r="L18" s="36"/>
      <c r="M18" s="36"/>
      <c r="N18" s="36"/>
      <c r="O18" s="36"/>
      <c r="P18" s="36"/>
      <c r="Q18" s="36">
        <v>114</v>
      </c>
      <c r="R18" s="36"/>
      <c r="S18" s="36"/>
      <c r="T18" s="36" t="s">
        <v>37</v>
      </c>
    </row>
    <row r="19" spans="1:20" x14ac:dyDescent="0.25">
      <c r="A19" s="38">
        <v>115</v>
      </c>
      <c r="B19" s="5">
        <v>737279.04700000002</v>
      </c>
      <c r="C19" s="5">
        <v>1030728.779</v>
      </c>
      <c r="D19" s="5">
        <v>0</v>
      </c>
      <c r="E19" s="5">
        <v>737278.99899999995</v>
      </c>
      <c r="F19" s="5">
        <v>1030728.785</v>
      </c>
      <c r="G19" s="5">
        <v>225.24700000000001</v>
      </c>
      <c r="H19" s="5">
        <f>B19-E19</f>
        <v>4.8000000067986548E-2</v>
      </c>
      <c r="I19" s="5">
        <f>C19-F19</f>
        <v>-6.0000000521540642E-3</v>
      </c>
      <c r="J19" s="5">
        <f>SQRT(POWER(H19,2)+POWER(I19,2))</f>
        <v>4.837354656372176E-2</v>
      </c>
      <c r="K19" s="4">
        <f>G19-D19</f>
        <v>225.24700000000001</v>
      </c>
      <c r="L19" s="36"/>
      <c r="M19" s="36"/>
      <c r="N19" s="36"/>
      <c r="O19" s="36"/>
      <c r="P19" s="36"/>
      <c r="Q19" s="36">
        <v>115</v>
      </c>
      <c r="R19" s="36"/>
      <c r="S19" s="36"/>
      <c r="T19" s="36" t="s">
        <v>37</v>
      </c>
    </row>
    <row r="20" spans="1:20" x14ac:dyDescent="0.25">
      <c r="A20" s="38">
        <v>116</v>
      </c>
      <c r="B20" s="5">
        <v>737284.554</v>
      </c>
      <c r="C20" s="5">
        <v>1030731.398</v>
      </c>
      <c r="D20" s="5">
        <v>0</v>
      </c>
      <c r="E20" s="5">
        <v>737284.54299999995</v>
      </c>
      <c r="F20" s="5">
        <v>1030731.461</v>
      </c>
      <c r="G20" s="5">
        <v>225.238</v>
      </c>
      <c r="H20" s="5">
        <f>B20-E20</f>
        <v>1.1000000056810677E-2</v>
      </c>
      <c r="I20" s="5">
        <f>C20-F20</f>
        <v>-6.2999999965541065E-2</v>
      </c>
      <c r="J20" s="5">
        <f>SQRT(POWER(H20,2)+POWER(I20,2))</f>
        <v>6.3953107797104031E-2</v>
      </c>
      <c r="K20" s="4">
        <f>G20-D20</f>
        <v>225.238</v>
      </c>
      <c r="L20" s="36"/>
      <c r="M20" s="36"/>
      <c r="N20" s="36"/>
      <c r="O20" s="36"/>
      <c r="P20" s="36"/>
      <c r="Q20" s="36">
        <v>116</v>
      </c>
      <c r="R20" s="36"/>
      <c r="S20" s="36"/>
      <c r="T20" s="36" t="s">
        <v>37</v>
      </c>
    </row>
    <row r="21" spans="1:20" x14ac:dyDescent="0.25">
      <c r="A21" s="38">
        <v>117</v>
      </c>
      <c r="B21" s="5">
        <v>737282.92599999998</v>
      </c>
      <c r="C21" s="5">
        <v>1030732.318</v>
      </c>
      <c r="D21" s="5">
        <v>0</v>
      </c>
      <c r="E21" s="5">
        <v>737282.91799999995</v>
      </c>
      <c r="F21" s="5">
        <v>1030732.348</v>
      </c>
      <c r="G21" s="5">
        <v>225.232</v>
      </c>
      <c r="H21" s="5">
        <f>B21-E21</f>
        <v>8.000000030733645E-3</v>
      </c>
      <c r="I21" s="5">
        <f>C21-F21</f>
        <v>-3.0000000027939677E-2</v>
      </c>
      <c r="J21" s="5">
        <f>SQRT(POWER(H21,2)+POWER(I21,2))</f>
        <v>3.104834942743525E-2</v>
      </c>
      <c r="K21" s="4">
        <f>G21-D21</f>
        <v>225.232</v>
      </c>
      <c r="L21" s="36"/>
      <c r="M21" s="36"/>
      <c r="N21" s="36"/>
      <c r="O21" s="36"/>
      <c r="P21" s="36"/>
      <c r="Q21" s="36">
        <v>117</v>
      </c>
      <c r="R21" s="36"/>
      <c r="S21" s="36"/>
      <c r="T21" s="36" t="s">
        <v>37</v>
      </c>
    </row>
    <row r="22" spans="1:20" x14ac:dyDescent="0.25">
      <c r="A22" s="38">
        <v>118</v>
      </c>
      <c r="B22" s="5">
        <v>737281.50300000003</v>
      </c>
      <c r="C22" s="5">
        <v>1030733.123</v>
      </c>
      <c r="D22" s="5">
        <v>0</v>
      </c>
      <c r="E22" s="5">
        <v>737281.50899999996</v>
      </c>
      <c r="F22" s="5">
        <v>1030733.148</v>
      </c>
      <c r="G22" s="5">
        <v>225.251</v>
      </c>
      <c r="H22" s="5">
        <f>B22-E22</f>
        <v>-5.9999999357387424E-3</v>
      </c>
      <c r="I22" s="5">
        <f>C22-F22</f>
        <v>-2.5000000023283064E-2</v>
      </c>
      <c r="J22" s="5">
        <f>SQRT(POWER(H22,2)+POWER(I22,2))</f>
        <v>2.5709920272008198E-2</v>
      </c>
      <c r="K22" s="4">
        <f>G22-D22</f>
        <v>225.251</v>
      </c>
      <c r="L22" s="36"/>
      <c r="M22" s="36"/>
      <c r="N22" s="36"/>
      <c r="O22" s="36"/>
      <c r="P22" s="36"/>
      <c r="Q22" s="36">
        <v>118</v>
      </c>
      <c r="R22" s="36"/>
      <c r="S22" s="36"/>
      <c r="T22" s="36" t="s">
        <v>37</v>
      </c>
    </row>
    <row r="23" spans="1:20" x14ac:dyDescent="0.25">
      <c r="A23" s="38">
        <v>119</v>
      </c>
      <c r="B23" s="5">
        <v>737289.14199999999</v>
      </c>
      <c r="C23" s="5">
        <v>1030737.34</v>
      </c>
      <c r="D23" s="5">
        <v>0</v>
      </c>
      <c r="E23" s="5">
        <v>737289.20200000005</v>
      </c>
      <c r="F23" s="5">
        <v>1030737.367</v>
      </c>
      <c r="G23" s="5">
        <v>225.24700000000001</v>
      </c>
      <c r="H23" s="5">
        <f>B23-E23</f>
        <v>-6.0000000055879354E-2</v>
      </c>
      <c r="I23" s="5">
        <f>C23-F23</f>
        <v>-2.7000000001862645E-2</v>
      </c>
      <c r="J23" s="5">
        <f>SQRT(POWER(H23,2)+POWER(I23,2))</f>
        <v>6.5795136650105876E-2</v>
      </c>
      <c r="K23" s="4">
        <f>G23-D23</f>
        <v>225.24700000000001</v>
      </c>
      <c r="L23" s="36"/>
      <c r="M23" s="36"/>
      <c r="N23" s="36"/>
      <c r="O23" s="36"/>
      <c r="P23" s="36"/>
      <c r="Q23" s="36">
        <v>119</v>
      </c>
      <c r="R23" s="36"/>
      <c r="S23" s="36"/>
      <c r="T23" s="36" t="s">
        <v>37</v>
      </c>
    </row>
    <row r="24" spans="1:20" x14ac:dyDescent="0.25">
      <c r="A24" s="38">
        <v>120</v>
      </c>
      <c r="B24" s="5">
        <v>737285.74600000004</v>
      </c>
      <c r="C24" s="5">
        <v>1030739.259</v>
      </c>
      <c r="D24" s="5">
        <v>0</v>
      </c>
      <c r="E24" s="5">
        <v>737285.76800000004</v>
      </c>
      <c r="F24" s="5">
        <v>1030739.2879999999</v>
      </c>
      <c r="G24" s="5">
        <v>225.23099999999999</v>
      </c>
      <c r="H24" s="5">
        <f>B24-E24</f>
        <v>-2.1999999997206032E-2</v>
      </c>
      <c r="I24" s="5">
        <f>C24-F24</f>
        <v>-2.8999999980442226E-2</v>
      </c>
      <c r="J24" s="5">
        <f>SQRT(POWER(H24,2)+POWER(I24,2))</f>
        <v>3.6400549429132449E-2</v>
      </c>
      <c r="K24" s="4">
        <f>G24-D24</f>
        <v>225.23099999999999</v>
      </c>
      <c r="L24" s="36"/>
      <c r="M24" s="36"/>
      <c r="N24" s="36"/>
      <c r="O24" s="36"/>
      <c r="P24" s="36"/>
      <c r="Q24" s="36">
        <v>120</v>
      </c>
      <c r="R24" s="36"/>
      <c r="S24" s="36"/>
      <c r="T24" s="36" t="s">
        <v>38</v>
      </c>
    </row>
    <row r="25" spans="1:20" x14ac:dyDescent="0.25">
      <c r="A25" s="38">
        <v>121</v>
      </c>
      <c r="B25" s="5">
        <v>737273.88899999997</v>
      </c>
      <c r="C25" s="5">
        <v>1030722.947</v>
      </c>
      <c r="D25" s="5">
        <v>0</v>
      </c>
      <c r="E25" s="5">
        <v>737276.17700000003</v>
      </c>
      <c r="F25" s="5"/>
      <c r="G25" s="5"/>
      <c r="H25" s="5"/>
      <c r="I25" s="5"/>
      <c r="J25" s="5"/>
      <c r="K25" s="4"/>
      <c r="L25" s="36"/>
      <c r="M25" s="36"/>
      <c r="N25" s="36"/>
      <c r="O25" s="36"/>
      <c r="P25" s="36"/>
      <c r="Q25" s="36">
        <v>123</v>
      </c>
      <c r="R25" s="36"/>
      <c r="S25" s="36"/>
      <c r="T25" s="36" t="s">
        <v>37</v>
      </c>
    </row>
    <row r="26" spans="1:20" x14ac:dyDescent="0.25">
      <c r="A26" s="38">
        <v>122</v>
      </c>
      <c r="B26" s="5">
        <v>737274.97499999998</v>
      </c>
      <c r="C26" s="5">
        <v>1030725.222</v>
      </c>
      <c r="D26" s="5">
        <v>0</v>
      </c>
      <c r="E26" s="5">
        <v>737276.17700000003</v>
      </c>
      <c r="F26" s="5"/>
      <c r="G26" s="5"/>
      <c r="H26" s="5"/>
      <c r="I26" s="5"/>
      <c r="J26" s="5"/>
      <c r="K26" s="4"/>
      <c r="L26" s="36"/>
      <c r="M26" s="36"/>
      <c r="N26" s="36"/>
      <c r="O26" s="36"/>
      <c r="P26" s="36"/>
      <c r="Q26" s="36">
        <v>123</v>
      </c>
      <c r="R26" s="36"/>
      <c r="S26" s="36"/>
      <c r="T26" s="36" t="s">
        <v>37</v>
      </c>
    </row>
    <row r="27" spans="1:20" x14ac:dyDescent="0.25">
      <c r="A27" s="38">
        <v>123</v>
      </c>
      <c r="B27" s="5">
        <v>737276.17299999995</v>
      </c>
      <c r="C27" s="5">
        <v>1030727.3419999999</v>
      </c>
      <c r="D27" s="5">
        <v>0</v>
      </c>
      <c r="E27" s="5">
        <v>737276.17700000003</v>
      </c>
      <c r="F27" s="5">
        <v>1030727.356</v>
      </c>
      <c r="G27" s="5">
        <v>225.25</v>
      </c>
      <c r="H27" s="5">
        <f>B27-E27</f>
        <v>-4.0000000735744834E-3</v>
      </c>
      <c r="I27" s="5">
        <f>C27-F27</f>
        <v>-1.4000000082887709E-2</v>
      </c>
      <c r="J27" s="5">
        <f>SQRT(POWER(H27,2)+POWER(I27,2))</f>
        <v>1.4560219878472018E-2</v>
      </c>
      <c r="K27" s="4">
        <f>G27-D27</f>
        <v>225.25</v>
      </c>
      <c r="L27" s="36"/>
      <c r="M27" s="36"/>
      <c r="N27" s="36"/>
      <c r="O27" s="36"/>
      <c r="P27" s="36"/>
      <c r="Q27" s="36">
        <v>123</v>
      </c>
      <c r="R27" s="36"/>
      <c r="S27" s="36"/>
      <c r="T27" s="36" t="s">
        <v>37</v>
      </c>
    </row>
    <row r="28" spans="1:20" x14ac:dyDescent="0.25">
      <c r="A28" s="38">
        <v>124</v>
      </c>
      <c r="B28" s="5">
        <v>737277.50699999998</v>
      </c>
      <c r="C28" s="5">
        <v>1030729.701</v>
      </c>
      <c r="D28" s="5">
        <v>0</v>
      </c>
      <c r="E28" s="5">
        <v>737277.55099999998</v>
      </c>
      <c r="F28" s="5">
        <v>1030729.718</v>
      </c>
      <c r="G28" s="5">
        <v>225.25</v>
      </c>
      <c r="H28" s="5">
        <f>B28-E28</f>
        <v>-4.3999999994412065E-2</v>
      </c>
      <c r="I28" s="5">
        <f>C28-F28</f>
        <v>-1.6999999992549419E-2</v>
      </c>
      <c r="J28" s="5">
        <f>SQRT(POWER(H28,2)+POWER(I28,2))</f>
        <v>4.7169905652385422E-2</v>
      </c>
      <c r="K28" s="4">
        <f>G28-D28</f>
        <v>225.25</v>
      </c>
      <c r="L28" s="36"/>
      <c r="M28" s="36"/>
      <c r="N28" s="36"/>
      <c r="O28" s="36"/>
      <c r="P28" s="36"/>
      <c r="Q28" s="36">
        <v>124</v>
      </c>
      <c r="R28" s="36"/>
      <c r="S28" s="36"/>
      <c r="T28" s="36" t="s">
        <v>39</v>
      </c>
    </row>
    <row r="29" spans="1:20" x14ac:dyDescent="0.25">
      <c r="A29" s="38">
        <v>126</v>
      </c>
      <c r="B29" s="5">
        <v>737279.84600000002</v>
      </c>
      <c r="C29" s="5">
        <v>1030733.841</v>
      </c>
      <c r="D29" s="5">
        <v>0</v>
      </c>
      <c r="E29" s="5">
        <v>737279.821</v>
      </c>
      <c r="F29" s="5">
        <v>1030733.8860000001</v>
      </c>
      <c r="G29" s="5">
        <v>225.22900000000001</v>
      </c>
      <c r="H29" s="5">
        <f>B29-E29</f>
        <v>2.5000000023283064E-2</v>
      </c>
      <c r="I29" s="5">
        <f>C29-F29</f>
        <v>-4.5000000041909516E-2</v>
      </c>
      <c r="J29" s="5">
        <f>SQRT(POWER(H29,2)+POWER(I29,2))</f>
        <v>5.1478150752877767E-2</v>
      </c>
      <c r="K29" s="4">
        <f>G29-D29</f>
        <v>225.22900000000001</v>
      </c>
      <c r="L29" s="36"/>
      <c r="M29" s="36"/>
      <c r="N29" s="36"/>
      <c r="O29" s="36"/>
      <c r="P29" s="36"/>
      <c r="Q29" s="36">
        <v>126</v>
      </c>
      <c r="R29" s="36"/>
      <c r="S29" s="36"/>
      <c r="T29" s="36" t="s">
        <v>37</v>
      </c>
    </row>
    <row r="30" spans="1:20" x14ac:dyDescent="0.25">
      <c r="A30" s="38">
        <v>127</v>
      </c>
      <c r="B30" s="5">
        <v>737281.18500000006</v>
      </c>
      <c r="C30" s="5">
        <v>1030736.208</v>
      </c>
      <c r="D30" s="5">
        <v>0</v>
      </c>
      <c r="E30" s="5">
        <v>737281.17099999997</v>
      </c>
      <c r="F30" s="5">
        <v>1030736.203</v>
      </c>
      <c r="G30" s="5">
        <v>225.239</v>
      </c>
      <c r="H30" s="5">
        <f>B30-E30</f>
        <v>1.4000000082887709E-2</v>
      </c>
      <c r="I30" s="5">
        <f>C30-F30</f>
        <v>5.0000000046566129E-3</v>
      </c>
      <c r="J30" s="5">
        <f>SQRT(POWER(H30,2)+POWER(I30,2))</f>
        <v>1.4866068826943522E-2</v>
      </c>
      <c r="K30" s="4">
        <f>G30-D30</f>
        <v>225.239</v>
      </c>
      <c r="L30" s="36"/>
      <c r="M30" s="36"/>
      <c r="N30" s="36"/>
      <c r="O30" s="36"/>
      <c r="P30" s="36"/>
      <c r="Q30" s="36">
        <v>127</v>
      </c>
      <c r="R30" s="36"/>
      <c r="S30" s="36"/>
      <c r="T30" s="36" t="s">
        <v>38</v>
      </c>
    </row>
    <row r="31" spans="1:20" x14ac:dyDescent="0.25">
      <c r="A31" s="38">
        <v>128</v>
      </c>
      <c r="B31" s="5">
        <v>737282.93200000003</v>
      </c>
      <c r="C31" s="5">
        <v>1030739.299</v>
      </c>
      <c r="D31" s="5">
        <v>0</v>
      </c>
      <c r="E31" s="5">
        <v>737282.95200000005</v>
      </c>
      <c r="F31" s="5">
        <v>1030739.265</v>
      </c>
      <c r="G31" s="5">
        <v>225.23500000000001</v>
      </c>
      <c r="H31" s="5">
        <f>B31-E31</f>
        <v>-2.0000000018626451E-2</v>
      </c>
      <c r="I31" s="5">
        <f>C31-F31</f>
        <v>3.3999999985098839E-2</v>
      </c>
      <c r="J31" s="5">
        <f>SQRT(POWER(H31,2)+POWER(I31,2))</f>
        <v>3.9446165843232205E-2</v>
      </c>
      <c r="K31" s="4">
        <f>G31-D31</f>
        <v>225.23500000000001</v>
      </c>
      <c r="L31" s="36"/>
      <c r="M31" s="36"/>
      <c r="N31" s="36"/>
      <c r="O31" s="36"/>
      <c r="P31" s="36"/>
      <c r="Q31" s="36">
        <v>128</v>
      </c>
      <c r="R31" s="36"/>
      <c r="S31" s="36"/>
      <c r="T31" s="36" t="s">
        <v>37</v>
      </c>
    </row>
    <row r="32" spans="1:20" x14ac:dyDescent="0.25">
      <c r="A32" s="38">
        <v>129</v>
      </c>
      <c r="B32" s="5">
        <v>737272.10800000001</v>
      </c>
      <c r="C32" s="5">
        <v>1030726.929</v>
      </c>
      <c r="D32" s="5">
        <v>0</v>
      </c>
      <c r="E32" s="5">
        <v>737276.17700000003</v>
      </c>
      <c r="F32" s="5"/>
      <c r="G32" s="5"/>
      <c r="H32" s="5"/>
      <c r="I32" s="5"/>
      <c r="J32" s="5"/>
      <c r="K32" s="4"/>
      <c r="L32" s="36"/>
      <c r="M32" s="36"/>
      <c r="N32" s="36"/>
      <c r="O32" s="36"/>
      <c r="P32" s="36"/>
      <c r="Q32" s="36">
        <v>123</v>
      </c>
      <c r="R32" s="36"/>
      <c r="S32" s="36"/>
      <c r="T32" s="36" t="s">
        <v>37</v>
      </c>
    </row>
    <row r="33" spans="1:20" x14ac:dyDescent="0.25">
      <c r="A33" s="38">
        <v>130</v>
      </c>
      <c r="B33" s="5">
        <v>737274.82499999995</v>
      </c>
      <c r="C33" s="5">
        <v>1030731.7340000001</v>
      </c>
      <c r="D33" s="5">
        <v>0</v>
      </c>
      <c r="E33" s="5">
        <v>737277.55099999998</v>
      </c>
      <c r="F33" s="5"/>
      <c r="G33" s="5"/>
      <c r="H33" s="5"/>
      <c r="I33" s="5"/>
      <c r="J33" s="5"/>
      <c r="K33" s="4"/>
      <c r="L33" s="36"/>
      <c r="M33" s="36"/>
      <c r="N33" s="36"/>
      <c r="O33" s="36"/>
      <c r="P33" s="36"/>
      <c r="Q33" s="36">
        <v>124</v>
      </c>
      <c r="R33" s="36"/>
      <c r="S33" s="36"/>
      <c r="T33" s="36" t="s">
        <v>39</v>
      </c>
    </row>
    <row r="34" spans="1:20" x14ac:dyDescent="0.25">
      <c r="A34" s="38">
        <v>131</v>
      </c>
      <c r="B34" s="5">
        <v>737276.79299999995</v>
      </c>
      <c r="C34" s="5">
        <v>1030735.216</v>
      </c>
      <c r="D34" s="5">
        <v>0</v>
      </c>
      <c r="E34" s="5">
        <v>737279.821</v>
      </c>
      <c r="F34" s="5"/>
      <c r="G34" s="5"/>
      <c r="H34" s="5"/>
      <c r="I34" s="5"/>
      <c r="J34" s="5"/>
      <c r="K34" s="4"/>
      <c r="L34" s="36"/>
      <c r="M34" s="36"/>
      <c r="N34" s="36"/>
      <c r="O34" s="36"/>
      <c r="P34" s="36"/>
      <c r="Q34" s="36">
        <v>126</v>
      </c>
      <c r="R34" s="36"/>
      <c r="S34" s="36"/>
      <c r="T34" s="36" t="s">
        <v>37</v>
      </c>
    </row>
    <row r="35" spans="1:20" x14ac:dyDescent="0.25">
      <c r="A35" s="38">
        <v>132</v>
      </c>
      <c r="B35" s="5">
        <v>737278.91899999999</v>
      </c>
      <c r="C35" s="5">
        <v>1030738.977</v>
      </c>
      <c r="D35" s="5">
        <v>0</v>
      </c>
      <c r="E35" s="5">
        <v>737278.93700000003</v>
      </c>
      <c r="F35" s="5">
        <v>1030738.934</v>
      </c>
      <c r="G35" s="5">
        <v>225.25899999999999</v>
      </c>
      <c r="H35" s="5">
        <f>B35-E35</f>
        <v>-1.8000000040046871E-2</v>
      </c>
      <c r="I35" s="5">
        <f>C35-F35</f>
        <v>4.2999999946914613E-2</v>
      </c>
      <c r="J35" s="5">
        <f>SQRT(POWER(H35,2)+POWER(I35,2))</f>
        <v>4.6615448049722147E-2</v>
      </c>
      <c r="K35" s="4">
        <f>G35-D35</f>
        <v>225.25899999999999</v>
      </c>
      <c r="L35" s="36"/>
      <c r="M35" s="36"/>
      <c r="N35" s="36"/>
      <c r="O35" s="36"/>
      <c r="P35" s="36"/>
      <c r="Q35" s="36">
        <v>132</v>
      </c>
      <c r="R35" s="36"/>
      <c r="S35" s="36"/>
      <c r="T35" s="36" t="s">
        <v>37</v>
      </c>
    </row>
    <row r="36" spans="1:20" x14ac:dyDescent="0.25">
      <c r="A36" s="38">
        <v>133</v>
      </c>
      <c r="B36" s="5">
        <v>737280.69299999997</v>
      </c>
      <c r="C36" s="5">
        <v>1030742.115</v>
      </c>
      <c r="D36" s="5">
        <v>0</v>
      </c>
      <c r="E36" s="5">
        <v>737280.73300000001</v>
      </c>
      <c r="F36" s="5">
        <v>1030742.154</v>
      </c>
      <c r="G36" s="5">
        <v>225.23699999999999</v>
      </c>
      <c r="H36" s="5">
        <f>B36-E36</f>
        <v>-4.0000000037252903E-2</v>
      </c>
      <c r="I36" s="5">
        <f>C36-F36</f>
        <v>-3.8999999989755452E-2</v>
      </c>
      <c r="J36" s="5">
        <f>SQRT(POWER(H36,2)+POWER(I36,2))</f>
        <v>5.5865910913375054E-2</v>
      </c>
      <c r="K36" s="4">
        <f>G36-D36</f>
        <v>225.23699999999999</v>
      </c>
      <c r="L36" s="36"/>
      <c r="M36" s="36"/>
      <c r="N36" s="36"/>
      <c r="O36" s="36"/>
      <c r="P36" s="36"/>
      <c r="Q36" s="36">
        <v>133</v>
      </c>
      <c r="R36" s="36"/>
      <c r="S36" s="36"/>
      <c r="T36" s="36" t="s">
        <v>39</v>
      </c>
    </row>
    <row r="37" spans="1:20" x14ac:dyDescent="0.25">
      <c r="A37" s="38">
        <v>134</v>
      </c>
      <c r="B37" s="5">
        <v>737264.63899999997</v>
      </c>
      <c r="C37" s="5">
        <v>1030731.151</v>
      </c>
      <c r="D37" s="5">
        <v>0</v>
      </c>
      <c r="E37" s="5">
        <v>737261.66799999995</v>
      </c>
      <c r="F37" s="5"/>
      <c r="G37" s="5"/>
      <c r="H37" s="5"/>
      <c r="I37" s="5"/>
      <c r="J37" s="5"/>
      <c r="K37" s="4"/>
      <c r="L37" s="36"/>
      <c r="M37" s="36"/>
      <c r="N37" s="36"/>
      <c r="O37" s="36"/>
      <c r="P37" s="36"/>
      <c r="Q37" s="36">
        <v>140</v>
      </c>
      <c r="R37" s="36"/>
      <c r="S37" s="36"/>
      <c r="T37" s="36" t="s">
        <v>37</v>
      </c>
    </row>
    <row r="38" spans="1:20" x14ac:dyDescent="0.25">
      <c r="A38" s="38">
        <v>135</v>
      </c>
      <c r="B38" s="5">
        <v>737267.35499999998</v>
      </c>
      <c r="C38" s="5">
        <v>1030735.956</v>
      </c>
      <c r="D38" s="5">
        <v>0</v>
      </c>
      <c r="E38" s="5">
        <v>737264.31599999999</v>
      </c>
      <c r="F38" s="5"/>
      <c r="G38" s="5"/>
      <c r="H38" s="5"/>
      <c r="I38" s="5"/>
      <c r="J38" s="5"/>
      <c r="K38" s="4"/>
      <c r="L38" s="36"/>
      <c r="M38" s="36"/>
      <c r="N38" s="36"/>
      <c r="O38" s="36"/>
      <c r="P38" s="36"/>
      <c r="Q38" s="36">
        <v>142</v>
      </c>
      <c r="R38" s="36"/>
      <c r="S38" s="36"/>
      <c r="T38" s="36" t="s">
        <v>37</v>
      </c>
    </row>
    <row r="39" spans="1:20" x14ac:dyDescent="0.25">
      <c r="A39" s="38">
        <v>136</v>
      </c>
      <c r="B39" s="5">
        <v>737269.32400000002</v>
      </c>
      <c r="C39" s="5">
        <v>1030739.438</v>
      </c>
      <c r="D39" s="5">
        <v>0</v>
      </c>
      <c r="E39" s="5">
        <v>737266.42700000003</v>
      </c>
      <c r="F39" s="5"/>
      <c r="G39" s="5"/>
      <c r="H39" s="5"/>
      <c r="I39" s="5"/>
      <c r="J39" s="5"/>
      <c r="K39" s="4"/>
      <c r="L39" s="36"/>
      <c r="M39" s="36"/>
      <c r="N39" s="36"/>
      <c r="O39" s="36"/>
      <c r="P39" s="36"/>
      <c r="Q39" s="36">
        <v>143</v>
      </c>
      <c r="R39" s="36"/>
      <c r="S39" s="36"/>
      <c r="T39" s="36" t="s">
        <v>37</v>
      </c>
    </row>
    <row r="40" spans="1:20" x14ac:dyDescent="0.25">
      <c r="A40" s="38">
        <v>137</v>
      </c>
      <c r="B40" s="5">
        <v>737271.45</v>
      </c>
      <c r="C40" s="5">
        <v>1030743.199</v>
      </c>
      <c r="D40" s="5">
        <v>0</v>
      </c>
      <c r="E40" s="5">
        <v>737271.41799999995</v>
      </c>
      <c r="F40" s="5">
        <v>1030743.258</v>
      </c>
      <c r="G40" s="5">
        <v>225.24299999999999</v>
      </c>
      <c r="H40" s="5">
        <f>B40-E40</f>
        <v>3.2000000006519258E-2</v>
      </c>
      <c r="I40" s="5">
        <f>C40-F40</f>
        <v>-5.9000000008381903E-2</v>
      </c>
      <c r="J40" s="5">
        <f>SQRT(POWER(H40,2)+POWER(I40,2))</f>
        <v>6.7119296788675439E-2</v>
      </c>
      <c r="K40" s="4">
        <f>G40-D40</f>
        <v>225.24299999999999</v>
      </c>
      <c r="L40" s="36"/>
      <c r="M40" s="36"/>
      <c r="N40" s="36"/>
      <c r="O40" s="36"/>
      <c r="P40" s="36"/>
      <c r="Q40" s="36">
        <v>137</v>
      </c>
      <c r="R40" s="36"/>
      <c r="S40" s="36"/>
      <c r="T40" s="36" t="s">
        <v>37</v>
      </c>
    </row>
    <row r="41" spans="1:20" x14ac:dyDescent="0.25">
      <c r="A41" s="38">
        <v>138</v>
      </c>
      <c r="B41" s="5">
        <v>737273.22400000005</v>
      </c>
      <c r="C41" s="5">
        <v>1030746.3370000001</v>
      </c>
      <c r="D41" s="5">
        <v>0</v>
      </c>
      <c r="E41" s="5">
        <v>737273.23300000001</v>
      </c>
      <c r="F41" s="5">
        <v>1030746.331</v>
      </c>
      <c r="G41" s="5">
        <v>225.24</v>
      </c>
      <c r="H41" s="5">
        <f>B41-E41</f>
        <v>-8.9999999618157744E-3</v>
      </c>
      <c r="I41" s="5">
        <f>C41-F41</f>
        <v>6.0000000521540642E-3</v>
      </c>
      <c r="J41" s="5">
        <f>SQRT(POWER(H41,2)+POWER(I41,2))</f>
        <v>1.0816653823550642E-2</v>
      </c>
      <c r="K41" s="4">
        <f>G41-D41</f>
        <v>225.24</v>
      </c>
      <c r="L41" s="36"/>
      <c r="M41" s="36"/>
      <c r="N41" s="36"/>
      <c r="O41" s="36"/>
      <c r="P41" s="36"/>
      <c r="Q41" s="36">
        <v>138</v>
      </c>
      <c r="R41" s="36"/>
      <c r="S41" s="36"/>
      <c r="T41" s="36" t="s">
        <v>39</v>
      </c>
    </row>
    <row r="42" spans="1:20" x14ac:dyDescent="0.25">
      <c r="A42" s="38">
        <v>139</v>
      </c>
      <c r="B42" s="5">
        <v>737260.44</v>
      </c>
      <c r="C42" s="5">
        <v>1030730.55</v>
      </c>
      <c r="D42" s="5">
        <v>0</v>
      </c>
      <c r="E42" s="5">
        <v>737260.46499999997</v>
      </c>
      <c r="F42" s="5">
        <v>1030730.54</v>
      </c>
      <c r="G42" s="5">
        <v>225.24799999999999</v>
      </c>
      <c r="H42" s="5">
        <f>B42-E42</f>
        <v>-2.5000000023283064E-2</v>
      </c>
      <c r="I42" s="5">
        <f>C42-F42</f>
        <v>1.0000000009313226E-2</v>
      </c>
      <c r="J42" s="5">
        <f>SQRT(POWER(H42,2)+POWER(I42,2))</f>
        <v>2.692582406074915E-2</v>
      </c>
      <c r="K42" s="4">
        <f>G42-D42</f>
        <v>225.24799999999999</v>
      </c>
      <c r="L42" s="36"/>
      <c r="M42" s="36"/>
      <c r="N42" s="36"/>
      <c r="O42" s="36"/>
      <c r="P42" s="36"/>
      <c r="Q42" s="36">
        <v>139</v>
      </c>
      <c r="R42" s="36"/>
      <c r="S42" s="36"/>
      <c r="T42" s="36" t="s">
        <v>37</v>
      </c>
    </row>
    <row r="43" spans="1:20" x14ac:dyDescent="0.25">
      <c r="A43" s="38">
        <v>140</v>
      </c>
      <c r="B43" s="5">
        <v>737261.66500000004</v>
      </c>
      <c r="C43" s="5">
        <v>1030732.7169999999</v>
      </c>
      <c r="D43" s="5">
        <v>0</v>
      </c>
      <c r="E43" s="5">
        <v>737261.66799999995</v>
      </c>
      <c r="F43" s="5">
        <v>1030732.715</v>
      </c>
      <c r="G43" s="5">
        <v>225.238</v>
      </c>
      <c r="H43" s="5">
        <f>B43-E43</f>
        <v>-2.9999999096617103E-3</v>
      </c>
      <c r="I43" s="5">
        <f>C43-F43</f>
        <v>1.9999999785795808E-3</v>
      </c>
      <c r="J43" s="5">
        <f>SQRT(POWER(H43,2)+POWER(I43,2))</f>
        <v>3.6055511884160781E-3</v>
      </c>
      <c r="K43" s="4">
        <f>G43-D43</f>
        <v>225.238</v>
      </c>
      <c r="L43" s="36"/>
      <c r="M43" s="36"/>
      <c r="N43" s="36"/>
      <c r="O43" s="36"/>
      <c r="P43" s="36"/>
      <c r="Q43" s="36">
        <v>140</v>
      </c>
      <c r="R43" s="36"/>
      <c r="S43" s="36"/>
      <c r="T43" s="36" t="s">
        <v>37</v>
      </c>
    </row>
    <row r="44" spans="1:20" x14ac:dyDescent="0.25">
      <c r="A44" s="38">
        <v>142</v>
      </c>
      <c r="B44" s="5">
        <v>737264.33200000005</v>
      </c>
      <c r="C44" s="5">
        <v>1030737.436</v>
      </c>
      <c r="D44" s="5">
        <v>0</v>
      </c>
      <c r="E44" s="5">
        <v>737264.31599999999</v>
      </c>
      <c r="F44" s="5">
        <v>1030737.422</v>
      </c>
      <c r="G44" s="5">
        <v>225.24799999999999</v>
      </c>
      <c r="H44" s="5">
        <f>B44-E44</f>
        <v>1.600000006146729E-2</v>
      </c>
      <c r="I44" s="5">
        <f>C44-F44</f>
        <v>1.3999999966472387E-2</v>
      </c>
      <c r="J44" s="5">
        <f>SQRT(POWER(H44,2)+POWER(I44,2))</f>
        <v>2.126029164965006E-2</v>
      </c>
      <c r="K44" s="4">
        <f>G44-D44</f>
        <v>225.24799999999999</v>
      </c>
      <c r="L44" s="36"/>
      <c r="M44" s="36"/>
      <c r="N44" s="36"/>
      <c r="O44" s="36"/>
      <c r="P44" s="36"/>
      <c r="Q44" s="36">
        <v>142</v>
      </c>
      <c r="R44" s="36"/>
      <c r="S44" s="36"/>
      <c r="T44" s="36" t="s">
        <v>37</v>
      </c>
    </row>
    <row r="45" spans="1:20" x14ac:dyDescent="0.25">
      <c r="A45" s="38">
        <v>143</v>
      </c>
      <c r="B45" s="5">
        <v>737266.39899999998</v>
      </c>
      <c r="C45" s="5">
        <v>1030741.0919999999</v>
      </c>
      <c r="D45" s="5">
        <v>0</v>
      </c>
      <c r="E45" s="5">
        <v>737266.42700000003</v>
      </c>
      <c r="F45" s="5">
        <v>1030741.144</v>
      </c>
      <c r="G45" s="5">
        <v>225.244</v>
      </c>
      <c r="H45" s="5">
        <f>B45-E45</f>
        <v>-2.8000000049360096E-2</v>
      </c>
      <c r="I45" s="5">
        <f>C45-F45</f>
        <v>-5.200000002514571E-2</v>
      </c>
      <c r="J45" s="5">
        <f>SQRT(POWER(H45,2)+POWER(I45,2))</f>
        <v>5.9059292286475287E-2</v>
      </c>
      <c r="K45" s="4">
        <f>G45-D45</f>
        <v>225.244</v>
      </c>
      <c r="L45" s="36"/>
      <c r="M45" s="36"/>
      <c r="N45" s="36"/>
      <c r="O45" s="36"/>
      <c r="P45" s="36"/>
      <c r="Q45" s="36">
        <v>143</v>
      </c>
      <c r="R45" s="36"/>
      <c r="S45" s="36"/>
      <c r="T45" s="36" t="s">
        <v>37</v>
      </c>
    </row>
    <row r="46" spans="1:20" x14ac:dyDescent="0.25">
      <c r="A46" s="38">
        <v>144</v>
      </c>
      <c r="B46" s="5">
        <v>737267.70299999998</v>
      </c>
      <c r="C46" s="5">
        <v>1030743.399</v>
      </c>
      <c r="D46" s="5">
        <v>0</v>
      </c>
      <c r="E46" s="5">
        <v>737267.68400000001</v>
      </c>
      <c r="F46" s="5">
        <v>1030743.371</v>
      </c>
      <c r="G46" s="5">
        <v>225.23099999999999</v>
      </c>
      <c r="H46" s="5">
        <f>B46-E46</f>
        <v>1.8999999971129E-2</v>
      </c>
      <c r="I46" s="5">
        <f>C46-F46</f>
        <v>2.7999999932944775E-2</v>
      </c>
      <c r="J46" s="5">
        <f>SQRT(POWER(H46,2)+POWER(I46,2))</f>
        <v>3.3837848559679584E-2</v>
      </c>
      <c r="K46" s="4">
        <f>G46-D46</f>
        <v>225.23099999999999</v>
      </c>
      <c r="L46" s="36"/>
      <c r="M46" s="36"/>
      <c r="N46" s="36"/>
      <c r="O46" s="36"/>
      <c r="P46" s="36"/>
      <c r="Q46" s="36">
        <v>144</v>
      </c>
      <c r="R46" s="36"/>
      <c r="S46" s="36"/>
      <c r="T46" s="36" t="s">
        <v>37</v>
      </c>
    </row>
    <row r="47" spans="1:20" x14ac:dyDescent="0.25">
      <c r="A47" s="38">
        <v>145</v>
      </c>
      <c r="B47" s="5">
        <v>737269.049</v>
      </c>
      <c r="C47" s="5">
        <v>1030745.78</v>
      </c>
      <c r="D47" s="5">
        <v>0</v>
      </c>
      <c r="E47" s="5">
        <v>737269.04299999995</v>
      </c>
      <c r="F47" s="5">
        <v>1030745.776</v>
      </c>
      <c r="G47" s="5">
        <v>225.233</v>
      </c>
      <c r="H47" s="5">
        <f>B47-E47</f>
        <v>6.0000000521540642E-3</v>
      </c>
      <c r="I47" s="5">
        <f>C47-F47</f>
        <v>4.0000000735744834E-3</v>
      </c>
      <c r="J47" s="5">
        <f>SQRT(POWER(H47,2)+POWER(I47,2))</f>
        <v>7.2111026351345635E-3</v>
      </c>
      <c r="K47" s="4">
        <f>G47-D47</f>
        <v>225.233</v>
      </c>
      <c r="L47" s="36"/>
      <c r="M47" s="36"/>
      <c r="N47" s="36"/>
      <c r="O47" s="36"/>
      <c r="P47" s="36"/>
      <c r="Q47" s="36">
        <v>145</v>
      </c>
      <c r="R47" s="36"/>
      <c r="S47" s="36"/>
      <c r="T47" s="36" t="s">
        <v>37</v>
      </c>
    </row>
    <row r="48" spans="1:20" x14ac:dyDescent="0.25">
      <c r="A48" s="38">
        <v>146</v>
      </c>
      <c r="B48" s="5">
        <v>737269.99800000002</v>
      </c>
      <c r="C48" s="5">
        <v>1030747.46</v>
      </c>
      <c r="D48" s="5">
        <v>0</v>
      </c>
      <c r="E48" s="5">
        <v>737270.04700000002</v>
      </c>
      <c r="F48" s="5">
        <v>1030747.49</v>
      </c>
      <c r="G48" s="5">
        <v>225.245</v>
      </c>
      <c r="H48" s="5">
        <f>B48-E48</f>
        <v>-4.8999999999068677E-2</v>
      </c>
      <c r="I48" s="5">
        <f>C48-F48</f>
        <v>-3.0000000027939677E-2</v>
      </c>
      <c r="J48" s="5">
        <f>SQRT(POWER(H48,2)+POWER(I48,2))</f>
        <v>5.7454329702687428E-2</v>
      </c>
      <c r="K48" s="4">
        <f>G48-D48</f>
        <v>225.245</v>
      </c>
      <c r="L48" s="36"/>
      <c r="M48" s="36"/>
      <c r="N48" s="36"/>
      <c r="O48" s="36"/>
      <c r="P48" s="36"/>
      <c r="Q48" s="36">
        <v>146</v>
      </c>
      <c r="R48" s="36"/>
      <c r="S48" s="36"/>
      <c r="T48" s="36" t="s">
        <v>37</v>
      </c>
    </row>
    <row r="49" spans="1:20" x14ac:dyDescent="0.25">
      <c r="A49" s="38">
        <v>147</v>
      </c>
      <c r="B49" s="5">
        <v>737265.82400000002</v>
      </c>
      <c r="C49" s="5">
        <v>1030750.52</v>
      </c>
      <c r="D49" s="5">
        <v>0</v>
      </c>
      <c r="E49" s="5">
        <v>737265.85400000005</v>
      </c>
      <c r="F49" s="5">
        <v>1030750.545</v>
      </c>
      <c r="G49" s="5">
        <v>225.25899999999999</v>
      </c>
      <c r="H49" s="5">
        <f>B49-E49</f>
        <v>-3.0000000027939677E-2</v>
      </c>
      <c r="I49" s="5">
        <f>C49-F49</f>
        <v>-2.5000000023283064E-2</v>
      </c>
      <c r="J49" s="5">
        <f>SQRT(POWER(H49,2)+POWER(I49,2))</f>
        <v>3.905124841590258E-2</v>
      </c>
      <c r="K49" s="4">
        <f>G49-D49</f>
        <v>225.25899999999999</v>
      </c>
      <c r="L49" s="36"/>
      <c r="M49" s="36"/>
      <c r="N49" s="36"/>
      <c r="O49" s="36"/>
      <c r="P49" s="36"/>
      <c r="Q49" s="36">
        <v>147</v>
      </c>
      <c r="R49" s="36"/>
      <c r="S49" s="36"/>
      <c r="T49" s="36" t="s">
        <v>38</v>
      </c>
    </row>
    <row r="50" spans="1:20" x14ac:dyDescent="0.25">
      <c r="A50" s="38">
        <v>148</v>
      </c>
      <c r="B50" s="5">
        <v>737254.07799999998</v>
      </c>
      <c r="C50" s="5">
        <v>1030734.232</v>
      </c>
      <c r="D50" s="5">
        <v>0</v>
      </c>
      <c r="E50" s="5">
        <v>737260.46499999997</v>
      </c>
      <c r="F50" s="5"/>
      <c r="G50" s="5"/>
      <c r="H50" s="5"/>
      <c r="I50" s="5"/>
      <c r="J50" s="5"/>
      <c r="K50" s="4"/>
      <c r="L50" s="36"/>
      <c r="M50" s="36"/>
      <c r="N50" s="36"/>
      <c r="O50" s="36"/>
      <c r="P50" s="36"/>
      <c r="Q50" s="36">
        <v>139</v>
      </c>
      <c r="R50" s="36"/>
      <c r="S50" s="36"/>
      <c r="T50" s="36" t="s">
        <v>37</v>
      </c>
    </row>
    <row r="51" spans="1:20" x14ac:dyDescent="0.25">
      <c r="A51" s="38">
        <v>149</v>
      </c>
      <c r="B51" s="5">
        <v>737256.06400000001</v>
      </c>
      <c r="C51" s="5">
        <v>1030737.7439999999</v>
      </c>
      <c r="D51" s="5">
        <v>0</v>
      </c>
      <c r="E51" s="5">
        <v>737252.84299999999</v>
      </c>
      <c r="F51" s="5"/>
      <c r="G51" s="5"/>
      <c r="H51" s="5"/>
      <c r="I51" s="5"/>
      <c r="J51" s="5"/>
      <c r="K51" s="4"/>
      <c r="L51" s="36"/>
      <c r="M51" s="36"/>
      <c r="N51" s="36"/>
      <c r="O51" s="36"/>
      <c r="P51" s="36"/>
      <c r="Q51" s="36">
        <v>155</v>
      </c>
      <c r="R51" s="36"/>
      <c r="S51" s="36"/>
      <c r="T51" s="36" t="s">
        <v>37</v>
      </c>
    </row>
    <row r="52" spans="1:20" x14ac:dyDescent="0.25">
      <c r="A52" s="38">
        <v>150</v>
      </c>
      <c r="B52" s="5">
        <v>737258.03200000001</v>
      </c>
      <c r="C52" s="5">
        <v>1030741.227</v>
      </c>
      <c r="D52" s="5">
        <v>0</v>
      </c>
      <c r="E52" s="5">
        <v>737253.82799999998</v>
      </c>
      <c r="F52" s="5"/>
      <c r="G52" s="5"/>
      <c r="H52" s="5"/>
      <c r="I52" s="5"/>
      <c r="J52" s="5"/>
      <c r="K52" s="4"/>
      <c r="L52" s="36"/>
      <c r="M52" s="36"/>
      <c r="N52" s="36"/>
      <c r="O52" s="36"/>
      <c r="P52" s="36"/>
      <c r="Q52" s="36">
        <v>156</v>
      </c>
      <c r="R52" s="36"/>
      <c r="S52" s="36"/>
      <c r="T52" s="36" t="s">
        <v>37</v>
      </c>
    </row>
    <row r="53" spans="1:20" x14ac:dyDescent="0.25">
      <c r="A53" s="38">
        <v>151</v>
      </c>
      <c r="B53" s="5">
        <v>737260</v>
      </c>
      <c r="C53" s="5">
        <v>1030744.709</v>
      </c>
      <c r="D53" s="5">
        <v>0</v>
      </c>
      <c r="E53" s="5">
        <v>737253.82799999998</v>
      </c>
      <c r="F53" s="5"/>
      <c r="G53" s="5"/>
      <c r="H53" s="5"/>
      <c r="I53" s="5"/>
      <c r="J53" s="5"/>
      <c r="K53" s="4"/>
      <c r="L53" s="36"/>
      <c r="M53" s="36"/>
      <c r="N53" s="36"/>
      <c r="O53" s="36"/>
      <c r="P53" s="36"/>
      <c r="Q53" s="36">
        <v>156</v>
      </c>
      <c r="R53" s="36"/>
      <c r="S53" s="36"/>
      <c r="T53" s="36" t="s">
        <v>37</v>
      </c>
    </row>
    <row r="54" spans="1:20" x14ac:dyDescent="0.25">
      <c r="A54" s="38">
        <v>152</v>
      </c>
      <c r="B54" s="5">
        <v>737261.96900000004</v>
      </c>
      <c r="C54" s="5">
        <v>1030748.191</v>
      </c>
      <c r="D54" s="5">
        <v>0</v>
      </c>
      <c r="E54" s="5">
        <v>737264.21499999997</v>
      </c>
      <c r="F54" s="5"/>
      <c r="G54" s="5"/>
      <c r="H54" s="5"/>
      <c r="I54" s="5"/>
      <c r="J54" s="5"/>
      <c r="K54" s="4"/>
      <c r="L54" s="36"/>
      <c r="M54" s="36"/>
      <c r="N54" s="36"/>
      <c r="O54" s="36"/>
      <c r="P54" s="36"/>
      <c r="Q54" s="36">
        <v>153</v>
      </c>
      <c r="R54" s="36"/>
      <c r="S54" s="36"/>
      <c r="T54" s="36" t="s">
        <v>38</v>
      </c>
    </row>
    <row r="55" spans="1:20" x14ac:dyDescent="0.25">
      <c r="A55" s="38">
        <v>153</v>
      </c>
      <c r="B55" s="5">
        <v>737264.196</v>
      </c>
      <c r="C55" s="5">
        <v>1030751.44</v>
      </c>
      <c r="D55" s="5">
        <v>0</v>
      </c>
      <c r="E55" s="5">
        <v>737264.21499999997</v>
      </c>
      <c r="F55" s="5">
        <v>1030751.412</v>
      </c>
      <c r="G55" s="5">
        <v>225.239</v>
      </c>
      <c r="H55" s="5">
        <f>B55-E55</f>
        <v>-1.8999999971129E-2</v>
      </c>
      <c r="I55" s="5">
        <f>C55-F55</f>
        <v>2.7999999932944775E-2</v>
      </c>
      <c r="J55" s="5">
        <f>SQRT(POWER(H55,2)+POWER(I55,2))</f>
        <v>3.3837848559679584E-2</v>
      </c>
      <c r="K55" s="4">
        <f>G55-D55</f>
        <v>225.239</v>
      </c>
      <c r="L55" s="36"/>
      <c r="M55" s="36"/>
      <c r="N55" s="36"/>
      <c r="O55" s="36"/>
      <c r="P55" s="36"/>
      <c r="Q55" s="36">
        <v>153</v>
      </c>
      <c r="R55" s="36"/>
      <c r="S55" s="36"/>
      <c r="T55" s="36" t="s">
        <v>38</v>
      </c>
    </row>
    <row r="56" spans="1:20" x14ac:dyDescent="0.25">
      <c r="A56" s="38">
        <v>154</v>
      </c>
      <c r="B56" s="5">
        <v>737261.82</v>
      </c>
      <c r="C56" s="5">
        <v>1030752.784</v>
      </c>
      <c r="D56" s="5">
        <v>0</v>
      </c>
      <c r="E56" s="5">
        <v>737261.82299999997</v>
      </c>
      <c r="F56" s="5">
        <v>1030752.812</v>
      </c>
      <c r="G56" s="5">
        <v>225.22499999999999</v>
      </c>
      <c r="H56" s="5">
        <f>B56-E56</f>
        <v>-3.0000000260770321E-3</v>
      </c>
      <c r="I56" s="5">
        <f>C56-F56</f>
        <v>-2.8000000049360096E-2</v>
      </c>
      <c r="J56" s="5">
        <f>SQRT(POWER(H56,2)+POWER(I56,2))</f>
        <v>2.8160255732514711E-2</v>
      </c>
      <c r="K56" s="4">
        <f>G56-D56</f>
        <v>225.22499999999999</v>
      </c>
      <c r="L56" s="36"/>
      <c r="M56" s="36"/>
      <c r="N56" s="36"/>
      <c r="O56" s="36"/>
      <c r="P56" s="36"/>
      <c r="Q56" s="36">
        <v>154</v>
      </c>
      <c r="R56" s="36"/>
      <c r="S56" s="36"/>
      <c r="T56" s="36" t="s">
        <v>38</v>
      </c>
    </row>
    <row r="57" spans="1:20" x14ac:dyDescent="0.25">
      <c r="A57" s="38">
        <v>155</v>
      </c>
      <c r="B57" s="5">
        <v>737252.85</v>
      </c>
      <c r="C57" s="5">
        <v>1030742.22</v>
      </c>
      <c r="D57" s="5">
        <v>0</v>
      </c>
      <c r="E57" s="5">
        <v>737252.84299999999</v>
      </c>
      <c r="F57" s="5">
        <v>1030742.265</v>
      </c>
      <c r="G57" s="5">
        <v>224.95</v>
      </c>
      <c r="H57" s="5">
        <f>B57-E57</f>
        <v>6.9999999832361937E-3</v>
      </c>
      <c r="I57" s="5">
        <f>C57-F57</f>
        <v>-4.5000000041909516E-2</v>
      </c>
      <c r="J57" s="5">
        <f>SQRT(POWER(H57,2)+POWER(I57,2))</f>
        <v>4.5541190185777569E-2</v>
      </c>
      <c r="K57" s="4">
        <f>G57-D57</f>
        <v>224.95</v>
      </c>
      <c r="L57" s="36"/>
      <c r="M57" s="36"/>
      <c r="N57" s="36"/>
      <c r="O57" s="36"/>
      <c r="P57" s="36"/>
      <c r="Q57" s="36">
        <v>155</v>
      </c>
      <c r="R57" s="36"/>
      <c r="S57" s="36"/>
      <c r="T57" s="36" t="s">
        <v>37</v>
      </c>
    </row>
    <row r="58" spans="1:20" x14ac:dyDescent="0.25">
      <c r="A58" s="38">
        <v>156</v>
      </c>
      <c r="B58" s="5">
        <v>737253.76500000001</v>
      </c>
      <c r="C58" s="5">
        <v>1030743.839</v>
      </c>
      <c r="D58" s="5">
        <v>0</v>
      </c>
      <c r="E58" s="5">
        <v>737253.82799999998</v>
      </c>
      <c r="F58" s="5">
        <v>1030743.806</v>
      </c>
      <c r="G58" s="5">
        <v>224.93899999999999</v>
      </c>
      <c r="H58" s="5">
        <f>B58-E58</f>
        <v>-6.2999999965541065E-2</v>
      </c>
      <c r="I58" s="5">
        <f>C58-F58</f>
        <v>3.3000000054016709E-2</v>
      </c>
      <c r="J58" s="5">
        <f>SQRT(POWER(H58,2)+POWER(I58,2))</f>
        <v>7.1119617541317501E-2</v>
      </c>
      <c r="K58" s="4">
        <f>G58-D58</f>
        <v>224.93899999999999</v>
      </c>
      <c r="L58" s="36"/>
      <c r="M58" s="36"/>
      <c r="N58" s="36"/>
      <c r="O58" s="36"/>
      <c r="P58" s="36"/>
      <c r="Q58" s="36">
        <v>156</v>
      </c>
      <c r="R58" s="36"/>
      <c r="S58" s="36"/>
      <c r="T58" s="36" t="s">
        <v>37</v>
      </c>
    </row>
    <row r="59" spans="1:20" x14ac:dyDescent="0.25">
      <c r="A59" s="38">
        <v>157</v>
      </c>
      <c r="B59" s="5">
        <v>737247.549</v>
      </c>
      <c r="C59" s="5">
        <v>1030737.922</v>
      </c>
      <c r="D59" s="5">
        <v>0</v>
      </c>
      <c r="E59" s="5">
        <v>737250.66</v>
      </c>
      <c r="F59" s="5"/>
      <c r="G59" s="5"/>
      <c r="H59" s="5"/>
      <c r="I59" s="5"/>
      <c r="J59" s="5"/>
      <c r="K59" s="4"/>
      <c r="L59" s="36"/>
      <c r="M59" s="36"/>
      <c r="N59" s="36"/>
      <c r="O59" s="36"/>
      <c r="P59" s="36"/>
      <c r="Q59" s="36">
        <v>159</v>
      </c>
      <c r="R59" s="36"/>
      <c r="S59" s="36"/>
      <c r="T59" s="36" t="s">
        <v>37</v>
      </c>
    </row>
    <row r="60" spans="1:20" x14ac:dyDescent="0.25">
      <c r="A60" s="38">
        <v>158</v>
      </c>
      <c r="B60" s="5">
        <v>737249.53500000003</v>
      </c>
      <c r="C60" s="5">
        <v>1030741.4350000001</v>
      </c>
      <c r="D60" s="5">
        <v>0</v>
      </c>
      <c r="E60" s="5">
        <v>737250.66</v>
      </c>
      <c r="F60" s="5"/>
      <c r="G60" s="5"/>
      <c r="H60" s="5"/>
      <c r="I60" s="5"/>
      <c r="J60" s="5"/>
      <c r="K60" s="4"/>
      <c r="L60" s="36"/>
      <c r="M60" s="36"/>
      <c r="N60" s="36"/>
      <c r="O60" s="36"/>
      <c r="P60" s="36"/>
      <c r="Q60" s="36">
        <v>159</v>
      </c>
      <c r="R60" s="36"/>
      <c r="S60" s="36"/>
      <c r="T60" s="36" t="s">
        <v>37</v>
      </c>
    </row>
    <row r="61" spans="1:20" x14ac:dyDescent="0.25">
      <c r="A61" s="38">
        <v>159</v>
      </c>
      <c r="B61" s="5">
        <v>737250.674</v>
      </c>
      <c r="C61" s="5">
        <v>1030743.45</v>
      </c>
      <c r="D61" s="5">
        <v>0</v>
      </c>
      <c r="E61" s="5">
        <v>737250.66</v>
      </c>
      <c r="F61" s="5">
        <v>1030743.4129999999</v>
      </c>
      <c r="G61" s="5">
        <v>224.952</v>
      </c>
      <c r="H61" s="5">
        <f>B61-E61</f>
        <v>1.3999999966472387E-2</v>
      </c>
      <c r="I61" s="5">
        <f>C61-F61</f>
        <v>3.7000000011175871E-2</v>
      </c>
      <c r="J61" s="5">
        <f>SQRT(POWER(H61,2)+POWER(I61,2))</f>
        <v>3.9560080888292444E-2</v>
      </c>
      <c r="K61" s="4">
        <f>G61-D61</f>
        <v>224.952</v>
      </c>
      <c r="L61" s="36"/>
      <c r="M61" s="36"/>
      <c r="N61" s="36"/>
      <c r="O61" s="36"/>
      <c r="P61" s="36"/>
      <c r="Q61" s="36">
        <v>159</v>
      </c>
      <c r="R61" s="36"/>
      <c r="S61" s="36"/>
      <c r="T61" s="36" t="s">
        <v>37</v>
      </c>
    </row>
    <row r="62" spans="1:20" x14ac:dyDescent="0.25">
      <c r="A62" s="38">
        <v>160</v>
      </c>
      <c r="B62" s="5">
        <v>737251.58900000004</v>
      </c>
      <c r="C62" s="5">
        <v>1030745.07</v>
      </c>
      <c r="D62" s="5">
        <v>0</v>
      </c>
      <c r="E62" s="5">
        <v>737251.63600000006</v>
      </c>
      <c r="F62" s="5">
        <v>1030745.069</v>
      </c>
      <c r="G62" s="5">
        <v>224.922</v>
      </c>
      <c r="H62" s="5">
        <f>B62-E62</f>
        <v>-4.7000000020489097E-2</v>
      </c>
      <c r="I62" s="5">
        <f>C62-F62</f>
        <v>9.9999993108212948E-4</v>
      </c>
      <c r="J62" s="5">
        <f>SQRT(POWER(H62,2)+POWER(I62,2))</f>
        <v>4.7010637113191089E-2</v>
      </c>
      <c r="K62" s="4">
        <f>G62-D62</f>
        <v>224.922</v>
      </c>
      <c r="L62" s="36"/>
      <c r="M62" s="36"/>
      <c r="N62" s="36"/>
      <c r="O62" s="36"/>
      <c r="P62" s="36"/>
      <c r="Q62" s="36">
        <v>160</v>
      </c>
      <c r="R62" s="36"/>
      <c r="S62" s="36"/>
      <c r="T62" s="36" t="s">
        <v>37</v>
      </c>
    </row>
    <row r="63" spans="1:20" x14ac:dyDescent="0.25">
      <c r="A63" s="38">
        <v>161</v>
      </c>
      <c r="B63" s="5">
        <v>737253.71699999995</v>
      </c>
      <c r="C63" s="5">
        <v>1030748.835</v>
      </c>
      <c r="D63" s="5">
        <v>0</v>
      </c>
      <c r="E63" s="5">
        <v>737251.63600000006</v>
      </c>
      <c r="F63" s="5"/>
      <c r="G63" s="5"/>
      <c r="H63" s="5"/>
      <c r="I63" s="5"/>
      <c r="J63" s="5"/>
      <c r="K63" s="4"/>
      <c r="L63" s="36"/>
      <c r="M63" s="36"/>
      <c r="N63" s="36"/>
      <c r="O63" s="36"/>
      <c r="P63" s="36"/>
      <c r="Q63" s="36">
        <v>160</v>
      </c>
      <c r="R63" s="36"/>
      <c r="S63" s="36"/>
      <c r="T63" s="36" t="s">
        <v>37</v>
      </c>
    </row>
    <row r="64" spans="1:20" x14ac:dyDescent="0.25">
      <c r="A64" s="38">
        <v>162</v>
      </c>
      <c r="B64" s="5">
        <v>737255.44</v>
      </c>
      <c r="C64" s="5">
        <v>1030751.882</v>
      </c>
      <c r="D64" s="5">
        <v>0</v>
      </c>
      <c r="E64" s="5">
        <v>737257.41299999994</v>
      </c>
      <c r="F64" s="5"/>
      <c r="G64" s="5"/>
      <c r="H64" s="5"/>
      <c r="I64" s="5"/>
      <c r="J64" s="5"/>
      <c r="K64" s="4"/>
      <c r="L64" s="36"/>
      <c r="M64" s="36"/>
      <c r="N64" s="36"/>
      <c r="O64" s="36"/>
      <c r="P64" s="36"/>
      <c r="Q64" s="36">
        <v>163</v>
      </c>
      <c r="R64" s="36"/>
      <c r="S64" s="36"/>
      <c r="T64" s="36" t="s">
        <v>38</v>
      </c>
    </row>
    <row r="65" spans="1:20" x14ac:dyDescent="0.25">
      <c r="A65" s="38">
        <v>163</v>
      </c>
      <c r="B65" s="5">
        <v>737257.42500000005</v>
      </c>
      <c r="C65" s="5">
        <v>1030755.394</v>
      </c>
      <c r="D65" s="5">
        <v>0</v>
      </c>
      <c r="E65" s="5">
        <v>737257.41299999994</v>
      </c>
      <c r="F65" s="5">
        <v>1030755.397</v>
      </c>
      <c r="G65" s="5">
        <v>225.24600000000001</v>
      </c>
      <c r="H65" s="5">
        <f>B65-E65</f>
        <v>1.2000000104308128E-2</v>
      </c>
      <c r="I65" s="5">
        <f>C65-F65</f>
        <v>-3.0000000260770321E-3</v>
      </c>
      <c r="J65" s="5">
        <f>SQRT(POWER(H65,2)+POWER(I65,2))</f>
        <v>1.236931698437134E-2</v>
      </c>
      <c r="K65" s="4">
        <f>G65-D65</f>
        <v>225.24600000000001</v>
      </c>
      <c r="L65" s="36"/>
      <c r="M65" s="36"/>
      <c r="N65" s="36"/>
      <c r="O65" s="36"/>
      <c r="P65" s="36"/>
      <c r="Q65" s="36">
        <v>163</v>
      </c>
      <c r="R65" s="36"/>
      <c r="S65" s="36"/>
      <c r="T65" s="36" t="s">
        <v>38</v>
      </c>
    </row>
    <row r="66" spans="1:20" x14ac:dyDescent="0.25">
      <c r="A66" s="38">
        <v>164</v>
      </c>
      <c r="B66" s="5">
        <v>737241.02</v>
      </c>
      <c r="C66" s="5">
        <v>1030741.613</v>
      </c>
      <c r="D66" s="5">
        <v>0</v>
      </c>
      <c r="E66" s="5">
        <v>737236.67200000002</v>
      </c>
      <c r="F66" s="5"/>
      <c r="G66" s="5"/>
      <c r="H66" s="5"/>
      <c r="I66" s="5"/>
      <c r="J66" s="5"/>
      <c r="K66" s="4"/>
      <c r="L66" s="36"/>
      <c r="M66" s="36"/>
      <c r="N66" s="36"/>
      <c r="O66" s="36"/>
      <c r="P66" s="36"/>
      <c r="Q66" s="36">
        <v>172</v>
      </c>
      <c r="R66" s="36"/>
      <c r="S66" s="36"/>
      <c r="T66" s="36" t="s">
        <v>37</v>
      </c>
    </row>
    <row r="67" spans="1:20" x14ac:dyDescent="0.25">
      <c r="A67" s="38">
        <v>165</v>
      </c>
      <c r="B67" s="5">
        <v>737243.005</v>
      </c>
      <c r="C67" s="5">
        <v>1030745.126</v>
      </c>
      <c r="D67" s="5">
        <v>0</v>
      </c>
      <c r="E67" s="5">
        <v>737245.01699999999</v>
      </c>
      <c r="F67" s="5"/>
      <c r="G67" s="5"/>
      <c r="H67" s="5"/>
      <c r="I67" s="5"/>
      <c r="J67" s="5"/>
      <c r="K67" s="4"/>
      <c r="L67" s="36"/>
      <c r="M67" s="36"/>
      <c r="N67" s="36"/>
      <c r="O67" s="36"/>
      <c r="P67" s="36"/>
      <c r="Q67" s="36">
        <v>166</v>
      </c>
      <c r="R67" s="36"/>
      <c r="S67" s="36"/>
      <c r="T67" s="36" t="s">
        <v>37</v>
      </c>
    </row>
    <row r="68" spans="1:20" x14ac:dyDescent="0.25">
      <c r="A68" s="38">
        <v>166</v>
      </c>
      <c r="B68" s="5">
        <v>737245.06</v>
      </c>
      <c r="C68" s="5">
        <v>1030748.76</v>
      </c>
      <c r="D68" s="5">
        <v>0</v>
      </c>
      <c r="E68" s="5">
        <v>737245.01699999999</v>
      </c>
      <c r="F68" s="5">
        <v>1030748.745</v>
      </c>
      <c r="G68" s="5">
        <v>225.23</v>
      </c>
      <c r="H68" s="5">
        <f>B68-E68</f>
        <v>4.3000000063329935E-2</v>
      </c>
      <c r="I68" s="5">
        <f>C68-F68</f>
        <v>1.5000000013969839E-2</v>
      </c>
      <c r="J68" s="5">
        <f>SQRT(POWER(H68,2)+POWER(I68,2))</f>
        <v>4.5541190211340211E-2</v>
      </c>
      <c r="K68" s="4">
        <f>G68-D68</f>
        <v>225.23</v>
      </c>
      <c r="L68" s="36"/>
      <c r="M68" s="36"/>
      <c r="N68" s="36"/>
      <c r="O68" s="36"/>
      <c r="P68" s="36"/>
      <c r="Q68" s="36">
        <v>166</v>
      </c>
      <c r="R68" s="36"/>
      <c r="S68" s="36"/>
      <c r="T68" s="36" t="s">
        <v>37</v>
      </c>
    </row>
    <row r="69" spans="1:20" x14ac:dyDescent="0.25">
      <c r="A69" s="38">
        <v>167</v>
      </c>
      <c r="B69" s="5">
        <v>737246.85600000003</v>
      </c>
      <c r="C69" s="5">
        <v>1030751.938</v>
      </c>
      <c r="D69" s="5">
        <v>0</v>
      </c>
      <c r="E69" s="5">
        <v>737246.86300000001</v>
      </c>
      <c r="F69" s="5">
        <v>1030751.961</v>
      </c>
      <c r="G69" s="5">
        <v>225.27</v>
      </c>
      <c r="H69" s="5">
        <f>B69-E69</f>
        <v>-6.9999999832361937E-3</v>
      </c>
      <c r="I69" s="5">
        <f>C69-F69</f>
        <v>-2.3000000044703484E-2</v>
      </c>
      <c r="J69" s="5">
        <f>SQRT(POWER(H69,2)+POWER(I69,2))</f>
        <v>2.4041630598228291E-2</v>
      </c>
      <c r="K69" s="4">
        <f>G69-D69</f>
        <v>225.27</v>
      </c>
      <c r="L69" s="36"/>
      <c r="M69" s="36"/>
      <c r="N69" s="36"/>
      <c r="O69" s="36"/>
      <c r="P69" s="36"/>
      <c r="Q69" s="36">
        <v>167</v>
      </c>
      <c r="R69" s="36"/>
      <c r="S69" s="36"/>
      <c r="T69" s="36" t="s">
        <v>37</v>
      </c>
    </row>
    <row r="70" spans="1:20" x14ac:dyDescent="0.25">
      <c r="A70" s="38">
        <v>168</v>
      </c>
      <c r="B70" s="5">
        <v>737248.91099999996</v>
      </c>
      <c r="C70" s="5">
        <v>1030755.572</v>
      </c>
      <c r="D70" s="5">
        <v>0</v>
      </c>
      <c r="E70" s="5">
        <v>737246.86300000001</v>
      </c>
      <c r="F70" s="5"/>
      <c r="G70" s="5"/>
      <c r="H70" s="5"/>
      <c r="I70" s="5"/>
      <c r="J70" s="5"/>
      <c r="K70" s="4"/>
      <c r="L70" s="36"/>
      <c r="M70" s="36"/>
      <c r="N70" s="36"/>
      <c r="O70" s="36"/>
      <c r="P70" s="36"/>
      <c r="Q70" s="36">
        <v>167</v>
      </c>
      <c r="R70" s="36"/>
      <c r="S70" s="36"/>
      <c r="T70" s="36" t="s">
        <v>37</v>
      </c>
    </row>
    <row r="71" spans="1:20" x14ac:dyDescent="0.25">
      <c r="A71" s="38">
        <v>169</v>
      </c>
      <c r="B71" s="5">
        <v>737250.89599999995</v>
      </c>
      <c r="C71" s="5">
        <v>1030759.085</v>
      </c>
      <c r="D71" s="5">
        <v>0</v>
      </c>
      <c r="E71" s="5">
        <v>737246.53</v>
      </c>
      <c r="F71" s="5"/>
      <c r="G71" s="5"/>
      <c r="H71" s="5"/>
      <c r="I71" s="5"/>
      <c r="J71" s="5"/>
      <c r="K71" s="4"/>
      <c r="L71" s="36"/>
      <c r="M71" s="36"/>
      <c r="N71" s="36"/>
      <c r="O71" s="36"/>
      <c r="P71" s="36"/>
      <c r="Q71" s="36">
        <v>177</v>
      </c>
      <c r="R71" s="36"/>
      <c r="S71" s="36"/>
      <c r="T71" s="36" t="s">
        <v>38</v>
      </c>
    </row>
    <row r="72" spans="1:20" x14ac:dyDescent="0.25">
      <c r="A72" s="38">
        <v>170</v>
      </c>
      <c r="B72" s="5">
        <v>737242.84</v>
      </c>
      <c r="C72" s="5">
        <v>1030750.015</v>
      </c>
      <c r="D72" s="5">
        <v>0</v>
      </c>
      <c r="E72" s="5">
        <v>737242.81299999997</v>
      </c>
      <c r="F72" s="5">
        <v>1030750.017</v>
      </c>
      <c r="G72" s="5">
        <v>225.23</v>
      </c>
      <c r="H72" s="5">
        <f>B72-E72</f>
        <v>2.7000000001862645E-2</v>
      </c>
      <c r="I72" s="5">
        <f>C72-F72</f>
        <v>-1.9999999785795808E-3</v>
      </c>
      <c r="J72" s="5">
        <f>SQRT(POWER(H72,2)+POWER(I72,2))</f>
        <v>2.7073972741636958E-2</v>
      </c>
      <c r="K72" s="4">
        <f>G72-D72</f>
        <v>225.23</v>
      </c>
      <c r="L72" s="36"/>
      <c r="M72" s="36"/>
      <c r="N72" s="36"/>
      <c r="O72" s="36"/>
      <c r="P72" s="36"/>
      <c r="Q72" s="36">
        <v>170</v>
      </c>
      <c r="R72" s="36"/>
      <c r="S72" s="36"/>
      <c r="T72" s="36" t="s">
        <v>37</v>
      </c>
    </row>
    <row r="73" spans="1:20" x14ac:dyDescent="0.25">
      <c r="A73" s="38">
        <v>171</v>
      </c>
      <c r="B73" s="5">
        <v>737244.63600000006</v>
      </c>
      <c r="C73" s="5">
        <v>1030753.193</v>
      </c>
      <c r="D73" s="5">
        <v>0</v>
      </c>
      <c r="E73" s="5">
        <v>737244.64099999995</v>
      </c>
      <c r="F73" s="5">
        <v>1030753.259</v>
      </c>
      <c r="G73" s="5">
        <v>225.244</v>
      </c>
      <c r="H73" s="5">
        <f>B73-E73</f>
        <v>-4.999999888241291E-3</v>
      </c>
      <c r="I73" s="5">
        <f>C73-F73</f>
        <v>-6.5999999991618097E-2</v>
      </c>
      <c r="J73" s="5">
        <f>SQRT(POWER(H73,2)+POWER(I73,2))</f>
        <v>6.6189122956691313E-2</v>
      </c>
      <c r="K73" s="4">
        <f>G73-D73</f>
        <v>225.244</v>
      </c>
      <c r="L73" s="36"/>
      <c r="M73" s="36"/>
      <c r="N73" s="36"/>
      <c r="O73" s="36"/>
      <c r="P73" s="36"/>
      <c r="Q73" s="36">
        <v>171</v>
      </c>
      <c r="R73" s="36"/>
      <c r="S73" s="36"/>
      <c r="T73" s="36" t="s">
        <v>37</v>
      </c>
    </row>
    <row r="74" spans="1:20" x14ac:dyDescent="0.25">
      <c r="A74" s="38">
        <v>172</v>
      </c>
      <c r="B74" s="5">
        <v>737236.66700000002</v>
      </c>
      <c r="C74" s="5">
        <v>1030744.074</v>
      </c>
      <c r="D74" s="5">
        <v>0</v>
      </c>
      <c r="E74" s="5">
        <v>737236.67200000002</v>
      </c>
      <c r="F74" s="5">
        <v>1030744.091</v>
      </c>
      <c r="G74" s="5">
        <v>225.23699999999999</v>
      </c>
      <c r="H74" s="5">
        <f>B74-E74</f>
        <v>-5.0000000046566129E-3</v>
      </c>
      <c r="I74" s="5">
        <f>C74-F74</f>
        <v>-1.6999999992549419E-2</v>
      </c>
      <c r="J74" s="5">
        <f>SQRT(POWER(H74,2)+POWER(I74,2))</f>
        <v>1.7720045140835458E-2</v>
      </c>
      <c r="K74" s="4">
        <f>G74-D74</f>
        <v>225.23699999999999</v>
      </c>
      <c r="L74" s="36"/>
      <c r="M74" s="36"/>
      <c r="N74" s="36"/>
      <c r="O74" s="36"/>
      <c r="P74" s="36"/>
      <c r="Q74" s="36">
        <v>172</v>
      </c>
      <c r="R74" s="36"/>
      <c r="S74" s="36"/>
      <c r="T74" s="36" t="s">
        <v>37</v>
      </c>
    </row>
    <row r="75" spans="1:20" x14ac:dyDescent="0.25">
      <c r="A75" s="38">
        <v>173</v>
      </c>
      <c r="B75" s="5">
        <v>737238.65300000005</v>
      </c>
      <c r="C75" s="5">
        <v>1030747.586</v>
      </c>
      <c r="D75" s="5">
        <v>0</v>
      </c>
      <c r="E75" s="5">
        <v>737236.67200000002</v>
      </c>
      <c r="F75" s="5"/>
      <c r="G75" s="5"/>
      <c r="H75" s="5"/>
      <c r="I75" s="5"/>
      <c r="J75" s="5"/>
      <c r="K75" s="4"/>
      <c r="L75" s="36"/>
      <c r="M75" s="36"/>
      <c r="N75" s="36"/>
      <c r="O75" s="36"/>
      <c r="P75" s="36"/>
      <c r="Q75" s="36">
        <v>172</v>
      </c>
      <c r="R75" s="36"/>
      <c r="S75" s="36"/>
      <c r="T75" s="36" t="s">
        <v>37</v>
      </c>
    </row>
    <row r="76" spans="1:20" x14ac:dyDescent="0.25">
      <c r="A76" s="38">
        <v>174</v>
      </c>
      <c r="B76" s="5">
        <v>737240.70700000005</v>
      </c>
      <c r="C76" s="5">
        <v>1030751.221</v>
      </c>
      <c r="D76" s="5">
        <v>0</v>
      </c>
      <c r="E76" s="5">
        <v>737240.67700000003</v>
      </c>
      <c r="F76" s="5">
        <v>1030751.223</v>
      </c>
      <c r="G76" s="5">
        <v>225.233</v>
      </c>
      <c r="H76" s="5">
        <f>B76-E76</f>
        <v>3.0000000027939677E-2</v>
      </c>
      <c r="I76" s="5">
        <f>C76-F76</f>
        <v>-1.9999999785795808E-3</v>
      </c>
      <c r="J76" s="5">
        <f>SQRT(POWER(H76,2)+POWER(I76,2))</f>
        <v>3.0066592783198745E-2</v>
      </c>
      <c r="K76" s="4">
        <f>G76-D76</f>
        <v>225.233</v>
      </c>
      <c r="L76" s="36"/>
      <c r="M76" s="36"/>
      <c r="N76" s="36"/>
      <c r="O76" s="36"/>
      <c r="P76" s="36"/>
      <c r="Q76" s="36">
        <v>174</v>
      </c>
      <c r="R76" s="36"/>
      <c r="S76" s="36"/>
      <c r="T76" s="36" t="s">
        <v>37</v>
      </c>
    </row>
    <row r="77" spans="1:20" x14ac:dyDescent="0.25">
      <c r="A77" s="38">
        <v>175</v>
      </c>
      <c r="B77" s="5">
        <v>737242.50300000003</v>
      </c>
      <c r="C77" s="5">
        <v>1030754.398</v>
      </c>
      <c r="D77" s="5">
        <v>0</v>
      </c>
      <c r="E77" s="5">
        <v>737242.51699999999</v>
      </c>
      <c r="F77" s="5">
        <v>1030754.378</v>
      </c>
      <c r="G77" s="5">
        <v>225.25899999999999</v>
      </c>
      <c r="H77" s="5">
        <f>B77-E77</f>
        <v>-1.3999999966472387E-2</v>
      </c>
      <c r="I77" s="5">
        <f>C77-F77</f>
        <v>2.0000000018626451E-2</v>
      </c>
      <c r="J77" s="5">
        <f>SQRT(POWER(H77,2)+POWER(I77,2))</f>
        <v>2.4413111227499965E-2</v>
      </c>
      <c r="K77" s="4">
        <f>G77-D77</f>
        <v>225.25899999999999</v>
      </c>
      <c r="L77" s="36"/>
      <c r="M77" s="36"/>
      <c r="N77" s="36"/>
      <c r="O77" s="36"/>
      <c r="P77" s="36"/>
      <c r="Q77" s="36">
        <v>175</v>
      </c>
      <c r="R77" s="36"/>
      <c r="S77" s="36"/>
      <c r="T77" s="36" t="s">
        <v>37</v>
      </c>
    </row>
    <row r="78" spans="1:20" x14ac:dyDescent="0.25">
      <c r="A78" s="38">
        <v>176</v>
      </c>
      <c r="B78" s="5">
        <v>737244.55799999996</v>
      </c>
      <c r="C78" s="5">
        <v>1030758.0330000001</v>
      </c>
      <c r="D78" s="5">
        <v>0</v>
      </c>
      <c r="E78" s="5">
        <v>737246.53</v>
      </c>
      <c r="F78" s="5"/>
      <c r="G78" s="5"/>
      <c r="H78" s="5"/>
      <c r="I78" s="5"/>
      <c r="J78" s="5"/>
      <c r="K78" s="4"/>
      <c r="L78" s="36"/>
      <c r="M78" s="36"/>
      <c r="N78" s="36"/>
      <c r="O78" s="36"/>
      <c r="P78" s="36"/>
      <c r="Q78" s="36">
        <v>177</v>
      </c>
      <c r="R78" s="36"/>
      <c r="S78" s="36"/>
      <c r="T78" s="36" t="s">
        <v>38</v>
      </c>
    </row>
    <row r="79" spans="1:20" x14ac:dyDescent="0.25">
      <c r="A79" s="38">
        <v>177</v>
      </c>
      <c r="B79" s="5">
        <v>737246.54299999995</v>
      </c>
      <c r="C79" s="5">
        <v>1030761.545</v>
      </c>
      <c r="D79" s="5">
        <v>0</v>
      </c>
      <c r="E79" s="5">
        <v>737246.53</v>
      </c>
      <c r="F79" s="5">
        <v>1030761.622</v>
      </c>
      <c r="G79" s="5">
        <v>225.233</v>
      </c>
      <c r="H79" s="5">
        <f>B79-E79</f>
        <v>1.2999999918974936E-2</v>
      </c>
      <c r="I79" s="5">
        <f>C79-F79</f>
        <v>-7.6999999932013452E-2</v>
      </c>
      <c r="J79" s="5">
        <f>SQRT(POWER(H79,2)+POWER(I79,2))</f>
        <v>7.8089691940892048E-2</v>
      </c>
      <c r="K79" s="4">
        <f>G79-D79</f>
        <v>225.233</v>
      </c>
      <c r="L79" s="36"/>
      <c r="M79" s="36"/>
      <c r="N79" s="36"/>
      <c r="O79" s="36"/>
      <c r="P79" s="36"/>
      <c r="Q79" s="36">
        <v>177</v>
      </c>
      <c r="R79" s="36"/>
      <c r="S79" s="36"/>
      <c r="T79" s="36" t="s">
        <v>38</v>
      </c>
    </row>
    <row r="80" spans="1:20" x14ac:dyDescent="0.25">
      <c r="A80" s="38">
        <v>178</v>
      </c>
      <c r="B80" s="5">
        <v>737230.01199999999</v>
      </c>
      <c r="C80" s="5">
        <v>1030747.836</v>
      </c>
      <c r="D80" s="5">
        <v>0</v>
      </c>
      <c r="E80" s="5">
        <v>737229.99399999995</v>
      </c>
      <c r="F80" s="5">
        <v>1030747.827</v>
      </c>
      <c r="G80" s="5">
        <v>225.22200000000001</v>
      </c>
      <c r="H80" s="5">
        <f>B80-E80</f>
        <v>1.8000000040046871E-2</v>
      </c>
      <c r="I80" s="5">
        <f>C80-F80</f>
        <v>8.9999999618157744E-3</v>
      </c>
      <c r="J80" s="5">
        <f>SQRT(POWER(H80,2)+POWER(I80,2))</f>
        <v>2.012461181624061E-2</v>
      </c>
      <c r="K80" s="4">
        <f>G80-D80</f>
        <v>225.22200000000001</v>
      </c>
      <c r="L80" s="36"/>
      <c r="M80" s="36"/>
      <c r="N80" s="36"/>
      <c r="O80" s="36"/>
      <c r="P80" s="36"/>
      <c r="Q80" s="36">
        <v>178</v>
      </c>
      <c r="R80" s="36"/>
      <c r="S80" s="36"/>
      <c r="T80" s="36" t="s">
        <v>37</v>
      </c>
    </row>
    <row r="81" spans="1:20" x14ac:dyDescent="0.25">
      <c r="A81" s="38">
        <v>179</v>
      </c>
      <c r="B81" s="5">
        <v>737231.46799999999</v>
      </c>
      <c r="C81" s="5">
        <v>1030750.412</v>
      </c>
      <c r="D81" s="5">
        <v>0</v>
      </c>
      <c r="E81" s="5">
        <v>737229.99399999995</v>
      </c>
      <c r="F81" s="5"/>
      <c r="G81" s="5"/>
      <c r="H81" s="5"/>
      <c r="I81" s="5"/>
      <c r="J81" s="5"/>
      <c r="K81" s="4"/>
      <c r="L81" s="36"/>
      <c r="M81" s="36"/>
      <c r="N81" s="36"/>
      <c r="O81" s="36"/>
      <c r="P81" s="36"/>
      <c r="Q81" s="36">
        <v>178</v>
      </c>
      <c r="R81" s="36"/>
      <c r="S81" s="36"/>
      <c r="T81" s="36" t="s">
        <v>37</v>
      </c>
    </row>
    <row r="82" spans="1:20" x14ac:dyDescent="0.25">
      <c r="A82" s="38">
        <v>180</v>
      </c>
      <c r="B82" s="5">
        <v>737233.31900000002</v>
      </c>
      <c r="C82" s="5">
        <v>1030753.686</v>
      </c>
      <c r="D82" s="5">
        <v>0</v>
      </c>
      <c r="E82" s="5">
        <v>737233.32499999995</v>
      </c>
      <c r="F82" s="5">
        <v>1030753.625</v>
      </c>
      <c r="G82" s="5">
        <v>225.23400000000001</v>
      </c>
      <c r="H82" s="5">
        <f>B82-E82</f>
        <v>-5.9999999357387424E-3</v>
      </c>
      <c r="I82" s="5">
        <f>C82-F82</f>
        <v>6.0999999986961484E-2</v>
      </c>
      <c r="J82" s="5">
        <f>SQRT(POWER(H82,2)+POWER(I82,2))</f>
        <v>6.1294371663621498E-2</v>
      </c>
      <c r="K82" s="4">
        <f>G82-D82</f>
        <v>225.23400000000001</v>
      </c>
      <c r="L82" s="36"/>
      <c r="M82" s="36"/>
      <c r="N82" s="36"/>
      <c r="O82" s="36"/>
      <c r="P82" s="36"/>
      <c r="Q82" s="36">
        <v>180</v>
      </c>
      <c r="R82" s="36"/>
      <c r="S82" s="36"/>
      <c r="T82" s="36" t="s">
        <v>37</v>
      </c>
    </row>
    <row r="83" spans="1:20" x14ac:dyDescent="0.25">
      <c r="A83" s="38">
        <v>181</v>
      </c>
      <c r="B83" s="5">
        <v>737234.05200000003</v>
      </c>
      <c r="C83" s="5">
        <v>1030754.983</v>
      </c>
      <c r="D83" s="5">
        <v>0</v>
      </c>
      <c r="E83" s="5">
        <v>737233.99699999997</v>
      </c>
      <c r="F83" s="5">
        <v>1030755</v>
      </c>
      <c r="G83" s="5">
        <v>225.215</v>
      </c>
      <c r="H83" s="5">
        <f>B83-E83</f>
        <v>5.5000000051222742E-2</v>
      </c>
      <c r="I83" s="5">
        <f>C83-F83</f>
        <v>-1.6999999992549419E-2</v>
      </c>
      <c r="J83" s="5">
        <f>SQRT(POWER(H83,2)+POWER(I83,2))</f>
        <v>5.7567351905235153E-2</v>
      </c>
      <c r="K83" s="4">
        <f>G83-D83</f>
        <v>225.215</v>
      </c>
      <c r="L83" s="36"/>
      <c r="M83" s="36"/>
      <c r="N83" s="36"/>
      <c r="O83" s="36"/>
      <c r="P83" s="36"/>
      <c r="Q83" s="36">
        <v>181</v>
      </c>
      <c r="R83" s="36"/>
      <c r="S83" s="36"/>
      <c r="T83" s="36" t="s">
        <v>37</v>
      </c>
    </row>
    <row r="84" spans="1:20" x14ac:dyDescent="0.25">
      <c r="A84" s="38">
        <v>182</v>
      </c>
      <c r="B84" s="5">
        <v>737235.93400000001</v>
      </c>
      <c r="C84" s="5">
        <v>1030758.313</v>
      </c>
      <c r="D84" s="5">
        <v>0</v>
      </c>
      <c r="E84" s="5">
        <v>737233.99699999997</v>
      </c>
      <c r="F84" s="5"/>
      <c r="G84" s="5"/>
      <c r="H84" s="5"/>
      <c r="I84" s="5"/>
      <c r="J84" s="5"/>
      <c r="K84" s="4"/>
      <c r="L84" s="36"/>
      <c r="M84" s="36"/>
      <c r="N84" s="36"/>
      <c r="O84" s="36"/>
      <c r="P84" s="36"/>
      <c r="Q84" s="36">
        <v>181</v>
      </c>
      <c r="R84" s="36"/>
      <c r="S84" s="36"/>
      <c r="T84" s="36" t="s">
        <v>37</v>
      </c>
    </row>
    <row r="85" spans="1:20" x14ac:dyDescent="0.25">
      <c r="A85" s="38">
        <v>183</v>
      </c>
      <c r="B85" s="5">
        <v>737238.272</v>
      </c>
      <c r="C85" s="5">
        <v>1030762.448</v>
      </c>
      <c r="D85" s="5">
        <v>0</v>
      </c>
      <c r="E85" s="5">
        <v>737238.21900000004</v>
      </c>
      <c r="F85" s="5">
        <v>1030762.451</v>
      </c>
      <c r="G85" s="5">
        <v>224.32599999999999</v>
      </c>
      <c r="H85" s="5">
        <f>B85-E85</f>
        <v>5.2999999956227839E-2</v>
      </c>
      <c r="I85" s="5">
        <f>C85-F85</f>
        <v>-3.0000000260770321E-3</v>
      </c>
      <c r="J85" s="5">
        <f>SQRT(POWER(H85,2)+POWER(I85,2))</f>
        <v>5.3084837717719484E-2</v>
      </c>
      <c r="K85" s="4">
        <f>G85-D85</f>
        <v>224.32599999999999</v>
      </c>
      <c r="L85" s="36"/>
      <c r="M85" s="36"/>
      <c r="N85" s="36"/>
      <c r="O85" s="36"/>
      <c r="P85" s="36"/>
      <c r="Q85" s="36">
        <v>183</v>
      </c>
      <c r="R85" s="36"/>
      <c r="S85" s="36"/>
      <c r="T85" s="36" t="s">
        <v>37</v>
      </c>
    </row>
    <row r="86" spans="1:20" x14ac:dyDescent="0.25">
      <c r="A86" s="38">
        <v>184</v>
      </c>
      <c r="B86" s="5">
        <v>737239.88800000004</v>
      </c>
      <c r="C86" s="5">
        <v>1030765.307</v>
      </c>
      <c r="D86" s="5">
        <v>0</v>
      </c>
      <c r="E86" s="5">
        <v>737239.92299999995</v>
      </c>
      <c r="F86" s="5">
        <v>1030765.344</v>
      </c>
      <c r="G86" s="5">
        <v>225.268</v>
      </c>
      <c r="H86" s="5">
        <f>B86-E86</f>
        <v>-3.4999999916180968E-2</v>
      </c>
      <c r="I86" s="5">
        <f>C86-F86</f>
        <v>-3.7000000011175871E-2</v>
      </c>
      <c r="J86" s="5">
        <f>SQRT(POWER(H86,2)+POWER(I86,2))</f>
        <v>5.0931326263505862E-2</v>
      </c>
      <c r="K86" s="4">
        <f>G86-D86</f>
        <v>225.268</v>
      </c>
      <c r="L86" s="36"/>
      <c r="M86" s="36"/>
      <c r="N86" s="36"/>
      <c r="O86" s="36"/>
      <c r="P86" s="36"/>
      <c r="Q86" s="36">
        <v>184</v>
      </c>
      <c r="R86" s="36"/>
      <c r="S86" s="36"/>
      <c r="T86" s="36" t="s">
        <v>37</v>
      </c>
    </row>
    <row r="87" spans="1:20" x14ac:dyDescent="0.25">
      <c r="A87" s="38">
        <v>185</v>
      </c>
      <c r="B87" s="5">
        <v>737228.17299999995</v>
      </c>
      <c r="C87" s="5">
        <v>1030752.275</v>
      </c>
      <c r="D87" s="5">
        <v>0</v>
      </c>
      <c r="E87" s="5">
        <v>737228.14399999997</v>
      </c>
      <c r="F87" s="5">
        <v>1030752.265</v>
      </c>
      <c r="G87" s="5">
        <v>225.232</v>
      </c>
      <c r="H87" s="5">
        <f>B87-E87</f>
        <v>2.8999999980442226E-2</v>
      </c>
      <c r="I87" s="5">
        <f>C87-F87</f>
        <v>1.0000000009313226E-2</v>
      </c>
      <c r="J87" s="5">
        <f>SQRT(POWER(H87,2)+POWER(I87,2))</f>
        <v>3.0675723284902569E-2</v>
      </c>
      <c r="K87" s="4">
        <f>G87-D87</f>
        <v>225.232</v>
      </c>
      <c r="L87" s="36"/>
      <c r="M87" s="36"/>
      <c r="N87" s="36"/>
      <c r="O87" s="36"/>
      <c r="P87" s="36"/>
      <c r="Q87" s="36">
        <v>185</v>
      </c>
      <c r="R87" s="36"/>
      <c r="S87" s="36"/>
      <c r="T87" s="36" t="s">
        <v>37</v>
      </c>
    </row>
    <row r="88" spans="1:20" x14ac:dyDescent="0.25">
      <c r="A88" s="38">
        <v>186</v>
      </c>
      <c r="B88" s="5">
        <v>737231.61399999994</v>
      </c>
      <c r="C88" s="5">
        <v>1030756.361</v>
      </c>
      <c r="D88" s="5">
        <v>0</v>
      </c>
      <c r="E88" s="5">
        <v>737231.55900000001</v>
      </c>
      <c r="F88" s="5">
        <v>1030756.3810000001</v>
      </c>
      <c r="G88" s="5">
        <v>225.22</v>
      </c>
      <c r="H88" s="5">
        <f>B88-E88</f>
        <v>5.499999993480742E-2</v>
      </c>
      <c r="I88" s="5">
        <f>C88-F88</f>
        <v>-2.0000000018626451E-2</v>
      </c>
      <c r="J88" s="5">
        <f>SQRT(POWER(H88,2)+POWER(I88,2))</f>
        <v>5.8523499498696029E-2</v>
      </c>
      <c r="K88" s="4">
        <f>G88-D88</f>
        <v>225.22</v>
      </c>
      <c r="L88" s="36"/>
      <c r="M88" s="36"/>
      <c r="N88" s="36"/>
      <c r="O88" s="36"/>
      <c r="P88" s="36"/>
      <c r="Q88" s="36">
        <v>186</v>
      </c>
      <c r="R88" s="36"/>
      <c r="S88" s="36"/>
      <c r="T88" s="36" t="s">
        <v>37</v>
      </c>
    </row>
    <row r="89" spans="1:20" x14ac:dyDescent="0.25">
      <c r="A89" s="38">
        <v>187</v>
      </c>
      <c r="B89" s="5">
        <v>737232.59400000004</v>
      </c>
      <c r="C89" s="5">
        <v>1030760.39</v>
      </c>
      <c r="D89" s="5">
        <v>0</v>
      </c>
      <c r="E89" s="5">
        <v>737231.55900000001</v>
      </c>
      <c r="F89" s="5"/>
      <c r="G89" s="5"/>
      <c r="H89" s="5"/>
      <c r="I89" s="5"/>
      <c r="J89" s="5"/>
      <c r="K89" s="4"/>
      <c r="L89" s="36"/>
      <c r="M89" s="36"/>
      <c r="N89" s="36"/>
      <c r="O89" s="36"/>
      <c r="P89" s="36"/>
      <c r="Q89" s="36">
        <v>186</v>
      </c>
      <c r="R89" s="36"/>
      <c r="S89" s="36"/>
      <c r="T89" s="36" t="s">
        <v>37</v>
      </c>
    </row>
    <row r="90" spans="1:20" ht="15.75" thickBot="1" x14ac:dyDescent="0.3">
      <c r="A90" s="39">
        <v>188</v>
      </c>
      <c r="B90" s="8">
        <v>737236.21900000004</v>
      </c>
      <c r="C90" s="8">
        <v>1030764.039</v>
      </c>
      <c r="D90" s="8">
        <v>0</v>
      </c>
      <c r="E90" s="8">
        <v>737236.15599999996</v>
      </c>
      <c r="F90" s="8">
        <v>1030764.094</v>
      </c>
      <c r="G90" s="8">
        <v>224.45500000000001</v>
      </c>
      <c r="H90" s="8">
        <f>B90-E90</f>
        <v>6.3000000081956387E-2</v>
      </c>
      <c r="I90" s="8">
        <f>C90-F90</f>
        <v>-5.5000000051222742E-2</v>
      </c>
      <c r="J90" s="8">
        <f>SQRT(POWER(H90,2)+POWER(I90,2))</f>
        <v>8.3630138203646454E-2</v>
      </c>
      <c r="K90" s="6">
        <f>G90-D90</f>
        <v>224.45500000000001</v>
      </c>
      <c r="L90" s="36"/>
      <c r="M90" s="36"/>
      <c r="N90" s="36"/>
      <c r="O90" s="36"/>
      <c r="P90" s="36"/>
      <c r="Q90" s="36">
        <v>188</v>
      </c>
      <c r="R90" s="36"/>
      <c r="S90" s="36"/>
      <c r="T90" s="36" t="s">
        <v>37</v>
      </c>
    </row>
    <row r="91" spans="1:20" x14ac:dyDescent="0.25">
      <c r="A91" s="2"/>
      <c r="B91" s="13"/>
      <c r="C91" s="13"/>
      <c r="D91" s="13"/>
      <c r="E91" s="13"/>
      <c r="F91" s="13"/>
      <c r="G91" s="13"/>
      <c r="H91" s="13"/>
    </row>
    <row r="92" spans="1:20" x14ac:dyDescent="0.25">
      <c r="A92" s="2"/>
      <c r="B92" s="13"/>
      <c r="C92" s="13"/>
      <c r="D92" s="13"/>
      <c r="E92" s="13"/>
      <c r="F92" s="13"/>
      <c r="G92" s="13"/>
      <c r="H92" s="13"/>
    </row>
    <row r="93" spans="1:20" x14ac:dyDescent="0.25">
      <c r="A93" s="2"/>
      <c r="B93" s="13"/>
      <c r="C93" s="13"/>
      <c r="D93" s="13"/>
      <c r="E93" s="13"/>
      <c r="F93" s="13"/>
      <c r="G93" s="13"/>
      <c r="H93" s="13"/>
    </row>
    <row r="94" spans="1:20" x14ac:dyDescent="0.25">
      <c r="A94" s="2"/>
      <c r="B94" s="13"/>
      <c r="C94" s="13"/>
      <c r="D94" s="13"/>
      <c r="E94" s="13"/>
      <c r="F94" s="13"/>
      <c r="G94" s="13"/>
      <c r="H94" s="13"/>
    </row>
    <row r="95" spans="1:20" x14ac:dyDescent="0.25">
      <c r="A95" s="2"/>
      <c r="B95" s="13"/>
      <c r="C95" s="13"/>
      <c r="D95" s="13"/>
      <c r="E95" s="13"/>
      <c r="F95" s="13"/>
      <c r="G95" s="13"/>
      <c r="H95" s="13"/>
    </row>
    <row r="96" spans="1:20" x14ac:dyDescent="0.25">
      <c r="A96" s="2"/>
      <c r="B96" s="13"/>
      <c r="C96" s="13"/>
      <c r="D96" s="13"/>
      <c r="E96" s="13"/>
      <c r="F96" s="13"/>
      <c r="G96" s="13"/>
      <c r="H96" s="13"/>
    </row>
    <row r="97" spans="1:8" x14ac:dyDescent="0.25">
      <c r="A97" s="2"/>
      <c r="B97" s="13"/>
      <c r="C97" s="13"/>
      <c r="D97" s="13"/>
      <c r="E97" s="13"/>
      <c r="F97" s="13"/>
      <c r="G97" s="13"/>
      <c r="H97" s="13"/>
    </row>
  </sheetData>
  <mergeCells count="5">
    <mergeCell ref="K3:K4"/>
    <mergeCell ref="A1:K2"/>
    <mergeCell ref="I3:I4"/>
    <mergeCell ref="H3:H4"/>
    <mergeCell ref="J3:J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1922C-1D91-4427-8A60-308D19E43212}">
  <sheetPr codeName="List3"/>
  <dimension ref="A1:D9"/>
  <sheetViews>
    <sheetView workbookViewId="0">
      <selection activeCell="I20" sqref="I20"/>
    </sheetView>
  </sheetViews>
  <sheetFormatPr defaultRowHeight="15" x14ac:dyDescent="0.25"/>
  <cols>
    <col min="2" max="2" width="11.42578125" customWidth="1"/>
    <col min="3" max="3" width="12.85546875" customWidth="1"/>
    <col min="10" max="10" width="11.5703125" customWidth="1"/>
    <col min="11" max="11" width="12.140625" customWidth="1"/>
  </cols>
  <sheetData>
    <row r="1" spans="1:4" x14ac:dyDescent="0.25">
      <c r="A1" t="s">
        <v>8</v>
      </c>
      <c r="B1">
        <v>745681.59866070491</v>
      </c>
      <c r="C1">
        <v>1027765.440636117</v>
      </c>
      <c r="D1">
        <v>0</v>
      </c>
    </row>
    <row r="2" spans="1:4" x14ac:dyDescent="0.25">
      <c r="A2" t="s">
        <v>9</v>
      </c>
      <c r="B2">
        <v>745682.40553424356</v>
      </c>
      <c r="C2">
        <v>1027768.450932105</v>
      </c>
      <c r="D2">
        <v>0</v>
      </c>
    </row>
    <row r="3" spans="1:4" x14ac:dyDescent="0.25">
      <c r="A3" t="s">
        <v>10</v>
      </c>
      <c r="B3">
        <v>745682.91231439065</v>
      </c>
      <c r="C3">
        <v>1027770.254536217</v>
      </c>
      <c r="D3">
        <v>0</v>
      </c>
    </row>
    <row r="4" spans="1:4" x14ac:dyDescent="0.25">
      <c r="A4" t="s">
        <v>11</v>
      </c>
      <c r="B4">
        <v>745683.7643699171</v>
      </c>
      <c r="C4">
        <v>1027773.278409839</v>
      </c>
      <c r="D4">
        <v>0</v>
      </c>
    </row>
    <row r="5" spans="1:4" x14ac:dyDescent="0.25">
      <c r="A5" t="s">
        <v>12</v>
      </c>
      <c r="B5">
        <v>745684.24181083369</v>
      </c>
      <c r="C5">
        <v>1027775.061362105</v>
      </c>
      <c r="D5">
        <v>0</v>
      </c>
    </row>
    <row r="6" spans="1:4" x14ac:dyDescent="0.25">
      <c r="A6" t="s">
        <v>13</v>
      </c>
      <c r="B6">
        <v>745685.05135068926</v>
      </c>
      <c r="C6">
        <v>1027778.080193571</v>
      </c>
      <c r="D6">
        <v>0</v>
      </c>
    </row>
    <row r="7" spans="1:4" x14ac:dyDescent="0.25">
      <c r="A7" t="s">
        <v>14</v>
      </c>
      <c r="B7">
        <v>745685.55266324955</v>
      </c>
      <c r="C7">
        <v>1027779.888776651</v>
      </c>
      <c r="D7">
        <v>0</v>
      </c>
    </row>
    <row r="8" spans="1:4" x14ac:dyDescent="0.25">
      <c r="A8" t="s">
        <v>15</v>
      </c>
      <c r="B8">
        <v>745686.40809584665</v>
      </c>
      <c r="C8">
        <v>1027782.906900674</v>
      </c>
      <c r="D8">
        <v>0</v>
      </c>
    </row>
    <row r="9" spans="1:4" x14ac:dyDescent="0.25">
      <c r="A9" t="s">
        <v>16</v>
      </c>
      <c r="B9">
        <v>745687.07847115176</v>
      </c>
      <c r="C9">
        <v>1027785.326427788</v>
      </c>
      <c r="D9">
        <v>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03A56-C421-49F4-8E60-AD475E77B00E}">
  <sheetPr codeName="List4"/>
  <dimension ref="A1:D9"/>
  <sheetViews>
    <sheetView workbookViewId="0">
      <selection activeCell="B7" sqref="B7"/>
    </sheetView>
  </sheetViews>
  <sheetFormatPr defaultRowHeight="15" x14ac:dyDescent="0.25"/>
  <cols>
    <col min="2" max="2" width="11.28515625" customWidth="1"/>
    <col min="3" max="3" width="12.85546875" customWidth="1"/>
  </cols>
  <sheetData>
    <row r="1" spans="1:4" x14ac:dyDescent="0.25">
      <c r="A1">
        <v>1</v>
      </c>
      <c r="B1">
        <v>745686.63883640582</v>
      </c>
      <c r="C1">
        <v>1027782.64688197</v>
      </c>
      <c r="D1">
        <v>0</v>
      </c>
    </row>
    <row r="2" spans="1:4" x14ac:dyDescent="0.25">
      <c r="A2">
        <v>2</v>
      </c>
      <c r="B2">
        <v>745687.30263415293</v>
      </c>
      <c r="C2">
        <v>1027785.0571459699</v>
      </c>
      <c r="D2">
        <v>0</v>
      </c>
    </row>
    <row r="3" spans="1:4" x14ac:dyDescent="0.25">
      <c r="A3">
        <v>3</v>
      </c>
      <c r="B3">
        <v>745685.97503865953</v>
      </c>
      <c r="C3">
        <v>1027780.23661797</v>
      </c>
      <c r="D3">
        <v>0</v>
      </c>
    </row>
    <row r="4" spans="1:4" x14ac:dyDescent="0.25">
      <c r="A4">
        <v>4</v>
      </c>
      <c r="B4">
        <v>745685.31124091253</v>
      </c>
      <c r="C4">
        <v>1027777.8263539691</v>
      </c>
      <c r="D4">
        <v>0</v>
      </c>
    </row>
    <row r="5" spans="1:4" x14ac:dyDescent="0.25">
      <c r="A5">
        <v>5</v>
      </c>
      <c r="B5">
        <v>745684.647443166</v>
      </c>
      <c r="C5">
        <v>1027775.416089969</v>
      </c>
      <c r="D5">
        <v>0</v>
      </c>
    </row>
    <row r="6" spans="1:4" x14ac:dyDescent="0.25">
      <c r="A6">
        <v>6</v>
      </c>
      <c r="B6">
        <v>745683.98364541936</v>
      </c>
      <c r="C6">
        <v>1027773.005825969</v>
      </c>
      <c r="D6">
        <v>0</v>
      </c>
    </row>
    <row r="7" spans="1:4" x14ac:dyDescent="0.25">
      <c r="A7">
        <v>7</v>
      </c>
      <c r="B7">
        <v>745683.31984767271</v>
      </c>
      <c r="C7">
        <v>1027770.595561968</v>
      </c>
      <c r="D7">
        <v>0</v>
      </c>
    </row>
    <row r="8" spans="1:4" x14ac:dyDescent="0.25">
      <c r="A8">
        <v>8</v>
      </c>
      <c r="B8">
        <v>745682.65604992583</v>
      </c>
      <c r="C8">
        <v>1027768.185297968</v>
      </c>
      <c r="D8">
        <v>0</v>
      </c>
    </row>
    <row r="9" spans="1:4" x14ac:dyDescent="0.25">
      <c r="A9">
        <v>9</v>
      </c>
      <c r="B9">
        <v>745681.99225217884</v>
      </c>
      <c r="C9">
        <v>1027765.775033967</v>
      </c>
      <c r="D9"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4</vt:i4>
      </vt:variant>
    </vt:vector>
  </HeadingPairs>
  <TitlesOfParts>
    <vt:vector size="4" baseType="lpstr">
      <vt:lpstr>Program</vt:lpstr>
      <vt:lpstr>Souradnice</vt:lpstr>
      <vt:lpstr>Vytyceni</vt:lpstr>
      <vt:lpstr>Zamereni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Jonáš Bartoň | Zakládání staveb, a.s.</dc:creator>
  <cp:lastModifiedBy>Jonáš Bartoň | Zakládání staveb, a.s.</cp:lastModifiedBy>
  <dcterms:created xsi:type="dcterms:W3CDTF">2024-05-22T15:35:10Z</dcterms:created>
  <dcterms:modified xsi:type="dcterms:W3CDTF">2024-08-29T16:35:19Z</dcterms:modified>
</cp:coreProperties>
</file>