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x\Dokumentace\Vytvoreni tabulky\Dalby_dolniVoda\"/>
    </mc:Choice>
  </mc:AlternateContent>
  <xr:revisionPtr revIDLastSave="0" documentId="13_ncr:1_{100416AB-4FAF-4058-BBD0-0262CC4075D8}" xr6:coauthVersionLast="47" xr6:coauthVersionMax="47" xr10:uidLastSave="{00000000-0000-0000-0000-000000000000}"/>
  <bookViews>
    <workbookView xWindow="765" yWindow="1095" windowWidth="20910" windowHeight="12435" xr2:uid="{87E20584-0A2E-4413-8C81-828960889262}"/>
  </bookViews>
  <sheets>
    <sheet name="Program" sheetId="1" r:id="rId1"/>
    <sheet name="Souradnice" sheetId="2" r:id="rId2"/>
    <sheet name="Vytyceni" sheetId="3" r:id="rId3"/>
    <sheet name="Zamereni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3" i="2" l="1"/>
  <c r="K12" i="2"/>
  <c r="K11" i="2"/>
  <c r="K10" i="2"/>
  <c r="K9" i="2"/>
  <c r="K8" i="2"/>
  <c r="K7" i="2"/>
  <c r="K6" i="2"/>
  <c r="K5" i="2"/>
  <c r="J13" i="2"/>
  <c r="I13" i="2"/>
  <c r="H13" i="2"/>
  <c r="J12" i="2"/>
  <c r="I12" i="2"/>
  <c r="H12" i="2"/>
  <c r="J11" i="2"/>
  <c r="I11" i="2"/>
  <c r="H11" i="2"/>
  <c r="J10" i="2"/>
  <c r="I10" i="2"/>
  <c r="H10" i="2"/>
  <c r="J9" i="2"/>
  <c r="I9" i="2"/>
  <c r="H9" i="2"/>
  <c r="J8" i="2"/>
  <c r="I8" i="2"/>
  <c r="H8" i="2"/>
  <c r="J7" i="2"/>
  <c r="I7" i="2"/>
  <c r="H7" i="2"/>
  <c r="J6" i="2"/>
  <c r="I6" i="2"/>
  <c r="H6" i="2"/>
  <c r="J5" i="2"/>
  <c r="I5" i="2"/>
  <c r="H5" i="2"/>
</calcChain>
</file>

<file path=xl/sharedStrings.xml><?xml version="1.0" encoding="utf-8"?>
<sst xmlns="http://schemas.openxmlformats.org/spreadsheetml/2006/main" count="65" uniqueCount="38">
  <si>
    <t>Seskupovat body v dosahu:</t>
  </si>
  <si>
    <t>m</t>
  </si>
  <si>
    <t>Vytyčení/zaměření:</t>
  </si>
  <si>
    <t>Y</t>
  </si>
  <si>
    <t>X</t>
  </si>
  <si>
    <t>sk. stav</t>
  </si>
  <si>
    <t>bodu</t>
  </si>
  <si>
    <t>cislo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</si>
  <si>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</si>
  <si>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</si>
  <si>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</si>
  <si>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</si>
  <si>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</si>
  <si>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</si>
  <si>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</si>
  <si>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</si>
  <si>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</si>
  <si>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Zobrazit</t>
  </si>
  <si>
    <t>Zobrazit :</t>
  </si>
  <si>
    <t>z - projekt:</t>
  </si>
  <si>
    <t>y, x - sk. stav:</t>
  </si>
  <si>
    <t>z - sk. stav:</t>
  </si>
  <si>
    <t>y, x - projekt:</t>
  </si>
  <si>
    <t>Popis tabulky :</t>
  </si>
  <si>
    <t>SOURADNICE STREDU DALEB</t>
  </si>
  <si>
    <t>Z txt</t>
  </si>
  <si>
    <t>Adresa txt - vytyceni</t>
  </si>
  <si>
    <t>Adresa txt - zamereni</t>
  </si>
  <si>
    <t>projekt</t>
  </si>
  <si>
    <t>dY</t>
  </si>
  <si>
    <t>dX</t>
  </si>
  <si>
    <t>dQ</t>
  </si>
  <si>
    <t>SOURADNICE ZAMERENÝCH BODU A POROVNÁNÍ S PROJEKTEM_x000D_
SOURADNICE STREDU DALEB</t>
  </si>
  <si>
    <t>Z</t>
  </si>
  <si>
    <t>C:\xx\Dokumentace\Vytvoreni tabulky\Dalby_dolniVoda\zamereni</t>
  </si>
  <si>
    <t>C:\xx\Dokumentace\Vytvoreni tabulky\Dalby_dolniVoda\vytyceni</t>
  </si>
  <si>
    <t>...\mereni\dol240521_zam_dlb_HH.txt</t>
  </si>
  <si>
    <t>dZ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</si>
</sst>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1"/>
      <color theme="0" tint="-0.34998626667073579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3" fillId="0" borderId="0" xfId="0" applyFont="1" applyAlignment="1">
      <alignment horizontal="center"/>
    </xf>
    <xf numFmtId="164" fontId="0" fillId="0" borderId="8" xfId="0" applyNumberForma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0" fillId="0" borderId="7" xfId="0" applyBorder="1" applyAlignment="1">
      <alignment horizont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0" xfId="0" applyBorder="1" applyAlignment="1">
      <alignment horizontal="center" wrapText="1"/>
    </xf>
    <xf numFmtId="164" fontId="0" fillId="0" borderId="10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164" fontId="2" fillId="2" borderId="1" xfId="0" applyNumberFormat="1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164" fontId="2" fillId="2" borderId="3" xfId="0" applyNumberFormat="1" applyFont="1" applyFill="1" applyBorder="1" applyAlignment="1">
      <alignment horizontal="center" vertical="top" wrapText="1"/>
    </xf>
    <xf numFmtId="164" fontId="0" fillId="0" borderId="11" xfId="0" applyNumberFormat="1" applyBorder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wrapText="1"/>
    </xf>
    <xf numFmtId="164" fontId="2" fillId="2" borderId="4" xfId="0" applyNumberFormat="1" applyFont="1" applyFill="1" applyBorder="1" applyAlignment="1">
      <alignment horizontal="center" vertical="center"/>
    </xf>
    <xf numFmtId="164" fontId="2" fillId="2" borderId="1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/>
    </xf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11</xdr:row>
          <xdr:rowOff>95250</xdr:rowOff>
        </xdr:from>
        <xdr:to>
          <xdr:col>2</xdr:col>
          <xdr:colOff>228600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seskup body a generuj tabulku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DD194-8E30-4250-90C6-906F4D8F612B}">
  <sheetPr codeName="List1"/>
  <dimension ref="A1:C28"/>
  <sheetViews>
    <sheetView tabSelected="1" workbookViewId="0">
      <selection activeCell="G8" sqref="G8"/>
    </sheetView>
  </sheetViews>
  <sheetFormatPr defaultRowHeight="15" x14ac:dyDescent="0.25"/>
  <cols>
    <col min="1" max="1" width="31.5703125" customWidth="1"/>
  </cols>
  <sheetData>
    <row r="1" spans="1:3" x14ac:dyDescent="0.25">
      <c r="A1" s="1" t="s">
        <v>26</v>
      </c>
    </row>
    <row r="2" spans="1:3" x14ac:dyDescent="0.25">
      <c r="A2" t="s">
        <v>35</v>
      </c>
    </row>
    <row r="4" spans="1:3" x14ac:dyDescent="0.25">
      <c r="A4" s="1" t="s">
        <v>27</v>
      </c>
    </row>
    <row r="5" spans="1:3" x14ac:dyDescent="0.25">
      <c r="A5" t="s">
        <v>34</v>
      </c>
    </row>
    <row r="8" spans="1:3" x14ac:dyDescent="0.25">
      <c r="A8" s="1" t="s">
        <v>0</v>
      </c>
      <c r="B8" s="7">
        <v>1</v>
      </c>
      <c r="C8" s="1" t="s">
        <v>1</v>
      </c>
    </row>
    <row r="10" spans="1:3" x14ac:dyDescent="0.25">
      <c r="A10" s="1" t="s">
        <v>2</v>
      </c>
      <c r="B10" s="3" t="s">
        <v>25</v>
      </c>
    </row>
    <row r="12" spans="1:3" x14ac:dyDescent="0.25">
      <c r="A12" s="9"/>
      <c r="B12" s="10"/>
    </row>
    <row r="13" spans="1:3" x14ac:dyDescent="0.25">
      <c r="A13" s="11"/>
      <c r="B13" s="11"/>
    </row>
    <row r="20" spans="1:2" x14ac:dyDescent="0.25">
      <c r="A20" s="1" t="s">
        <v>18</v>
      </c>
    </row>
    <row r="21" spans="1:2" x14ac:dyDescent="0.25">
      <c r="A21" s="17" t="s">
        <v>22</v>
      </c>
      <c r="B21" s="7" t="s">
        <v>17</v>
      </c>
    </row>
    <row r="22" spans="1:2" x14ac:dyDescent="0.25">
      <c r="A22" s="17" t="s">
        <v>19</v>
      </c>
      <c r="B22" s="7" t="s">
        <v>17</v>
      </c>
    </row>
    <row r="23" spans="1:2" x14ac:dyDescent="0.25">
      <c r="A23" s="17" t="s">
        <v>20</v>
      </c>
      <c r="B23" s="7" t="s">
        <v>17</v>
      </c>
    </row>
    <row r="24" spans="1:2" x14ac:dyDescent="0.25">
      <c r="A24" s="17" t="s">
        <v>21</v>
      </c>
      <c r="B24" s="7" t="s">
        <v>17</v>
      </c>
    </row>
    <row r="27" spans="1:2" x14ac:dyDescent="0.25">
      <c r="A27" s="1" t="s">
        <v>23</v>
      </c>
    </row>
    <row r="28" spans="1:2" x14ac:dyDescent="0.25">
      <c r="A28" s="7" t="s">
        <v>24</v>
      </c>
    </row>
  </sheetData>
  <dataConsolidate/>
  <dataValidations count="3">
    <dataValidation type="list" allowBlank="1" showInputMessage="1" showErrorMessage="1" sqref="K12 B10" xr:uid="{B662DD82-05A0-4F93-A52D-F6A178B62047}">
      <formula1>"Z txt,Z Excelu"</formula1>
    </dataValidation>
    <dataValidation type="list" allowBlank="1" showInputMessage="1" showErrorMessage="1" sqref="B21:B24" xr:uid="{51A53216-2108-4F32-9554-07D4988991D0}">
      <formula1>"Zobrazit, Skrýt"</formula1>
    </dataValidation>
    <dataValidation type="list" allowBlank="1" showInputMessage="1" showErrorMessage="1" sqref="A28" xr:uid="{37E92895-E3F7-4016-B7B1-8ABCC2B06917}">
      <formula1>"SOURADNICE STREDU DALEB, SOURADNICE STREDU PILOT, SOURADNICE STREDU MIKROPILOT"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ctiVytyceniAZamereni">
                <anchor moveWithCells="1" sizeWithCells="1">
                  <from>
                    <xdr:col>0</xdr:col>
                    <xdr:colOff>95250</xdr:colOff>
                    <xdr:row>11</xdr:row>
                    <xdr:rowOff>95250</xdr:rowOff>
                  </from>
                  <to>
                    <xdr:col>2</xdr:col>
                    <xdr:colOff>228600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59567-E2A1-43D9-9B03-B896C50CF4D7}">
  <sheetPr codeName="List2"/>
  <dimension ref="A1:T97"/>
  <sheetViews>
    <sheetView workbookViewId="0">
      <selection activeCell="L6" sqref="L6"/>
    </sheetView>
  </sheetViews>
  <sheetFormatPr defaultRowHeight="15" x14ac:dyDescent="0.25"/>
  <cols>
    <col min="1" max="1" width="7.5703125" customWidth="1"/>
    <col min="2" max="2" width="12.5703125" style="14" customWidth="1"/>
    <col min="3" max="3" width="13.5703125" style="14" customWidth="1"/>
    <col min="4" max="4" width="9.5703125" style="14" customWidth="1"/>
    <col min="5" max="5" width="12.5703125" style="14" customWidth="1"/>
    <col min="6" max="6" width="13.5703125" style="14" customWidth="1"/>
    <col min="7" max="7" width="9.5703125" style="14" customWidth="1"/>
    <col min="8" max="8" width="8.28515625" style="14" customWidth="1"/>
    <col min="9" max="9" width="8.28515625" style="13" customWidth="1"/>
    <col min="10" max="10" width="7.5703125" style="13" customWidth="1"/>
    <col min="11" max="11" width="8.28515625" style="13" customWidth="1"/>
    <col min="12" max="12" width="7.7109375" customWidth="1"/>
    <col min="13" max="13" width="4.140625" customWidth="1"/>
    <col min="14" max="15" width="3.7109375" customWidth="1"/>
    <col min="16" max="16" width="4.42578125" customWidth="1"/>
    <col min="17" max="19" width="5" customWidth="1"/>
    <col min="20" max="20" width="37.5703125" customWidth="1"/>
  </cols>
  <sheetData>
    <row r="1" spans="1:20" ht="15" customHeight="1" x14ac:dyDescent="0.25">
      <c r="A1" s="30" t="s">
        <v>32</v>
      </c>
      <c r="B1" s="31"/>
      <c r="C1" s="31"/>
      <c r="D1" s="31"/>
      <c r="E1" s="31"/>
      <c r="F1" s="31"/>
      <c r="G1" s="31"/>
      <c r="H1" s="31"/>
      <c r="I1" s="31"/>
      <c r="J1" s="31"/>
      <c r="K1" s="32"/>
    </row>
    <row r="2" spans="1:20" ht="15" customHeight="1" thickBot="1" x14ac:dyDescent="0.3">
      <c r="A2" s="33"/>
      <c r="B2" s="34"/>
      <c r="C2" s="34"/>
      <c r="D2" s="34"/>
      <c r="E2" s="34"/>
      <c r="F2" s="34"/>
      <c r="G2" s="34"/>
      <c r="H2" s="34"/>
      <c r="I2" s="34"/>
      <c r="J2" s="34"/>
      <c r="K2" s="35"/>
    </row>
    <row r="3" spans="1:20" ht="15" customHeight="1" x14ac:dyDescent="0.25">
      <c r="A3" s="20" t="s">
        <v>7</v>
      </c>
      <c r="B3" s="21" t="s">
        <v>3</v>
      </c>
      <c r="C3" s="18" t="s">
        <v>4</v>
      </c>
      <c r="D3" s="18" t="s">
        <v>33</v>
      </c>
      <c r="E3" s="18" t="s">
        <v>3</v>
      </c>
      <c r="F3" s="18" t="s">
        <v>4</v>
      </c>
      <c r="G3" s="25" t="s">
        <v>33</v>
      </c>
      <c r="H3" s="36" t="s">
        <v>29</v>
      </c>
      <c r="I3" s="36" t="s">
        <v>30</v>
      </c>
      <c r="J3" s="36" t="s">
        <v>31</v>
      </c>
      <c r="K3" s="28" t="s">
        <v>37</v>
      </c>
    </row>
    <row r="4" spans="1:20" ht="15.75" thickBot="1" x14ac:dyDescent="0.3">
      <c r="A4" s="22" t="s">
        <v>6</v>
      </c>
      <c r="B4" s="23" t="s">
        <v>28</v>
      </c>
      <c r="C4" s="19" t="s">
        <v>28</v>
      </c>
      <c r="D4" s="19" t="s">
        <v>28</v>
      </c>
      <c r="E4" s="19" t="s">
        <v>5</v>
      </c>
      <c r="F4" s="19" t="s">
        <v>5</v>
      </c>
      <c r="G4" s="26" t="s">
        <v>5</v>
      </c>
      <c r="H4" s="37"/>
      <c r="I4" s="37"/>
      <c r="J4" s="37"/>
      <c r="K4" s="29"/>
    </row>
    <row r="5" spans="1:20" x14ac:dyDescent="0.25">
      <c r="A5" s="15" t="s">
        <v>8</v>
      </c>
      <c r="B5" s="16">
        <v>745681.99199999997</v>
      </c>
      <c r="C5" s="16">
        <v>1027765.775</v>
      </c>
      <c r="D5" s="16">
        <v>170.63399999999999</v>
      </c>
      <c r="E5" s="16">
        <v>745681.97423066921</v>
      </c>
      <c r="F5" s="16">
        <v>1027765.7788266195</v>
      </c>
      <c r="G5" s="16">
        <v>170.636</v>
      </c>
      <c r="H5" s="16">
        <f t="shared" ref="H5:H13" si="0">B5-E5</f>
        <v>1.776933076325804E-2</v>
      </c>
      <c r="I5" s="16">
        <f t="shared" ref="I5:I13" si="1">C5-F5</f>
        <v>-3.8266194751486182E-3</v>
      </c>
      <c r="J5" s="16">
        <f t="shared" ref="J5:J13" si="2">SQRT(POWER(H5,2)+POWER(I5,2))</f>
        <v>1.817669200876923E-2</v>
      </c>
      <c r="K5" s="24">
        <f t="shared" ref="K5:K13" si="3">G5-D5</f>
        <v>2.0000000000095497E-3</v>
      </c>
      <c r="Q5">
        <v>1</v>
      </c>
      <c r="R5">
        <v>2</v>
      </c>
      <c r="S5">
        <v>3</v>
      </c>
      <c r="T5" t="s">
        <v>36</v>
      </c>
    </row>
    <row r="6" spans="1:20" x14ac:dyDescent="0.25">
      <c r="A6" s="12" t="s">
        <v>9</v>
      </c>
      <c r="B6" s="5">
        <v>745682.65599999996</v>
      </c>
      <c r="C6" s="5">
        <v>1027768.1850000001</v>
      </c>
      <c r="D6" s="5">
        <v>170.63399999999999</v>
      </c>
      <c r="E6" s="5">
        <v>745682.66223509365</v>
      </c>
      <c r="F6" s="5">
        <v>1027768.1901151546</v>
      </c>
      <c r="G6" s="5">
        <v>170.62899999999999</v>
      </c>
      <c r="H6" s="5">
        <f t="shared" si="0"/>
        <v>-6.2350936932489276E-3</v>
      </c>
      <c r="I6" s="5">
        <f t="shared" si="1"/>
        <v>-5.115154548548162E-3</v>
      </c>
      <c r="J6" s="5">
        <f t="shared" si="2"/>
        <v>8.0648124230589206E-3</v>
      </c>
      <c r="K6" s="4">
        <f t="shared" si="3"/>
        <v>-4.9999999999954525E-3</v>
      </c>
      <c r="Q6">
        <v>4</v>
      </c>
      <c r="R6">
        <v>5</v>
      </c>
      <c r="S6">
        <v>6</v>
      </c>
      <c r="T6" t="s">
        <v>36</v>
      </c>
    </row>
    <row r="7" spans="1:20" x14ac:dyDescent="0.25">
      <c r="A7" s="12" t="s">
        <v>10</v>
      </c>
      <c r="B7" s="5">
        <v>745683.32</v>
      </c>
      <c r="C7" s="5">
        <v>1027770.596</v>
      </c>
      <c r="D7" s="5">
        <v>170.63399999999999</v>
      </c>
      <c r="E7" s="5">
        <v>745683.31646076345</v>
      </c>
      <c r="F7" s="5">
        <v>1027770.6105799191</v>
      </c>
      <c r="G7" s="5">
        <v>170.63499999999999</v>
      </c>
      <c r="H7" s="5">
        <f t="shared" si="0"/>
        <v>3.5392364952713251E-3</v>
      </c>
      <c r="I7" s="5">
        <f t="shared" si="1"/>
        <v>-1.4579919050447643E-2</v>
      </c>
      <c r="J7" s="5">
        <f t="shared" si="2"/>
        <v>1.5003340777542399E-2</v>
      </c>
      <c r="K7" s="4">
        <f t="shared" si="3"/>
        <v>1.0000000000047748E-3</v>
      </c>
      <c r="Q7">
        <v>7</v>
      </c>
      <c r="R7">
        <v>8</v>
      </c>
      <c r="S7">
        <v>9</v>
      </c>
      <c r="T7" t="s">
        <v>36</v>
      </c>
    </row>
    <row r="8" spans="1:20" x14ac:dyDescent="0.25">
      <c r="A8" s="12" t="s">
        <v>11</v>
      </c>
      <c r="B8" s="5">
        <v>745683.98400000005</v>
      </c>
      <c r="C8" s="5">
        <v>1027773.0060000001</v>
      </c>
      <c r="D8" s="5">
        <v>170.63399999999999</v>
      </c>
      <c r="E8" s="5">
        <v>745683.99318073655</v>
      </c>
      <c r="F8" s="5">
        <v>1027773.0089998208</v>
      </c>
      <c r="G8" s="5">
        <v>170.62899999999999</v>
      </c>
      <c r="H8" s="5">
        <f t="shared" si="0"/>
        <v>-9.1807364951819181E-3</v>
      </c>
      <c r="I8" s="5">
        <f t="shared" si="1"/>
        <v>-2.9998207464814186E-3</v>
      </c>
      <c r="J8" s="5">
        <f t="shared" si="2"/>
        <v>9.6584081040814122E-3</v>
      </c>
      <c r="K8" s="4">
        <f t="shared" si="3"/>
        <v>-4.9999999999954525E-3</v>
      </c>
      <c r="Q8">
        <v>10</v>
      </c>
      <c r="R8">
        <v>11</v>
      </c>
      <c r="S8">
        <v>12</v>
      </c>
      <c r="T8" t="s">
        <v>36</v>
      </c>
    </row>
    <row r="9" spans="1:20" x14ac:dyDescent="0.25">
      <c r="A9" s="12" t="s">
        <v>12</v>
      </c>
      <c r="B9" s="5">
        <v>745684.647</v>
      </c>
      <c r="C9" s="5">
        <v>1027775.416</v>
      </c>
      <c r="D9" s="5">
        <v>170.63399999999999</v>
      </c>
      <c r="E9" s="5">
        <v>745684.65301465988</v>
      </c>
      <c r="F9" s="5">
        <v>1027775.4263851291</v>
      </c>
      <c r="G9" s="5">
        <v>170.631</v>
      </c>
      <c r="H9" s="5">
        <f t="shared" si="0"/>
        <v>-6.0146598843857646E-3</v>
      </c>
      <c r="I9" s="5">
        <f t="shared" si="1"/>
        <v>-1.0385129135102034E-2</v>
      </c>
      <c r="J9" s="5">
        <f t="shared" si="2"/>
        <v>1.2001126642010928E-2</v>
      </c>
      <c r="K9" s="4">
        <f t="shared" si="3"/>
        <v>-2.9999999999859028E-3</v>
      </c>
      <c r="Q9">
        <v>13</v>
      </c>
      <c r="R9">
        <v>14</v>
      </c>
      <c r="S9">
        <v>15</v>
      </c>
      <c r="T9" t="s">
        <v>36</v>
      </c>
    </row>
    <row r="10" spans="1:20" x14ac:dyDescent="0.25">
      <c r="A10" s="12" t="s">
        <v>13</v>
      </c>
      <c r="B10" s="5">
        <v>745685.31099999999</v>
      </c>
      <c r="C10" s="5">
        <v>1027777.826</v>
      </c>
      <c r="D10" s="5">
        <v>170.63399999999999</v>
      </c>
      <c r="E10" s="5">
        <v>745685.30619390786</v>
      </c>
      <c r="F10" s="5">
        <v>1027777.8244821694</v>
      </c>
      <c r="G10" s="5">
        <v>170.625</v>
      </c>
      <c r="H10" s="5">
        <f t="shared" si="0"/>
        <v>4.8060921253636479E-3</v>
      </c>
      <c r="I10" s="5">
        <f t="shared" si="1"/>
        <v>1.5178306493908167E-3</v>
      </c>
      <c r="J10" s="5">
        <f t="shared" si="2"/>
        <v>5.040072558774587E-3</v>
      </c>
      <c r="K10" s="4">
        <f t="shared" si="3"/>
        <v>-8.9999999999861302E-3</v>
      </c>
      <c r="Q10">
        <v>16</v>
      </c>
      <c r="R10">
        <v>17</v>
      </c>
      <c r="S10">
        <v>18</v>
      </c>
      <c r="T10" t="s">
        <v>36</v>
      </c>
    </row>
    <row r="11" spans="1:20" x14ac:dyDescent="0.25">
      <c r="A11" s="12" t="s">
        <v>14</v>
      </c>
      <c r="B11" s="5">
        <v>745685.97499999998</v>
      </c>
      <c r="C11" s="5">
        <v>1027780.237</v>
      </c>
      <c r="D11" s="5">
        <v>170.63399999999999</v>
      </c>
      <c r="E11" s="5">
        <v>745685.97374531662</v>
      </c>
      <c r="F11" s="5">
        <v>1027780.2396971274</v>
      </c>
      <c r="G11" s="5">
        <v>170.62200000000001</v>
      </c>
      <c r="H11" s="5">
        <f t="shared" si="0"/>
        <v>1.2546833604574203E-3</v>
      </c>
      <c r="I11" s="5">
        <f t="shared" si="1"/>
        <v>-2.6971274055540562E-3</v>
      </c>
      <c r="J11" s="5">
        <f t="shared" si="2"/>
        <v>2.9746809201659729E-3</v>
      </c>
      <c r="K11" s="4">
        <f t="shared" si="3"/>
        <v>-1.1999999999972033E-2</v>
      </c>
      <c r="Q11">
        <v>19</v>
      </c>
      <c r="R11">
        <v>20</v>
      </c>
      <c r="S11">
        <v>21</v>
      </c>
      <c r="T11" t="s">
        <v>36</v>
      </c>
    </row>
    <row r="12" spans="1:20" x14ac:dyDescent="0.25">
      <c r="A12" s="12" t="s">
        <v>15</v>
      </c>
      <c r="B12" s="5">
        <v>745686.63899999997</v>
      </c>
      <c r="C12" s="5">
        <v>1027782.647</v>
      </c>
      <c r="D12" s="5">
        <v>170.63399999999999</v>
      </c>
      <c r="E12" s="5">
        <v>745686.64567090769</v>
      </c>
      <c r="F12" s="5">
        <v>1027782.6482194177</v>
      </c>
      <c r="G12" s="5">
        <v>170.63</v>
      </c>
      <c r="H12" s="5">
        <f t="shared" si="0"/>
        <v>-6.6709077218547463E-3</v>
      </c>
      <c r="I12" s="5">
        <f t="shared" si="1"/>
        <v>-1.219417667016387E-3</v>
      </c>
      <c r="J12" s="5">
        <f t="shared" si="2"/>
        <v>6.7814444833039049E-3</v>
      </c>
      <c r="K12" s="4">
        <f t="shared" si="3"/>
        <v>-3.9999999999906777E-3</v>
      </c>
      <c r="Q12">
        <v>22</v>
      </c>
      <c r="R12">
        <v>23</v>
      </c>
      <c r="S12">
        <v>24</v>
      </c>
      <c r="T12" t="s">
        <v>36</v>
      </c>
    </row>
    <row r="13" spans="1:20" ht="15.75" thickBot="1" x14ac:dyDescent="0.3">
      <c r="A13" s="27" t="s">
        <v>16</v>
      </c>
      <c r="B13" s="8">
        <v>745687.30299999996</v>
      </c>
      <c r="C13" s="8">
        <v>1027785.057</v>
      </c>
      <c r="D13" s="8">
        <v>170.63399999999999</v>
      </c>
      <c r="E13" s="8">
        <v>745687.31271376216</v>
      </c>
      <c r="F13" s="8">
        <v>1027785.0606350043</v>
      </c>
      <c r="G13" s="8">
        <v>170.626</v>
      </c>
      <c r="H13" s="8">
        <f t="shared" si="0"/>
        <v>-9.7137622069567442E-3</v>
      </c>
      <c r="I13" s="8">
        <f t="shared" si="1"/>
        <v>-3.6350042792037129E-3</v>
      </c>
      <c r="J13" s="8">
        <f t="shared" si="2"/>
        <v>1.037161666873253E-2</v>
      </c>
      <c r="K13" s="6">
        <f t="shared" si="3"/>
        <v>-7.9999999999813554E-3</v>
      </c>
      <c r="Q13">
        <v>25</v>
      </c>
      <c r="R13">
        <v>26</v>
      </c>
      <c r="S13">
        <v>27</v>
      </c>
      <c r="T13" t="s">
        <v>36</v>
      </c>
    </row>
    <row r="14" spans="1:20" x14ac:dyDescent="0.25">
      <c r="A14" s="2"/>
      <c r="B14" s="13"/>
      <c r="C14" s="13"/>
      <c r="D14" s="13"/>
      <c r="E14" s="13"/>
      <c r="F14" s="13"/>
      <c r="G14" s="13"/>
      <c r="H14" s="13"/>
    </row>
    <row r="15" spans="1:20" x14ac:dyDescent="0.25">
      <c r="A15" s="2"/>
      <c r="B15" s="13"/>
      <c r="C15" s="13"/>
      <c r="D15" s="13"/>
      <c r="E15" s="13"/>
      <c r="F15" s="13"/>
      <c r="G15" s="13"/>
      <c r="H15" s="13"/>
    </row>
    <row r="16" spans="1:20" x14ac:dyDescent="0.25">
      <c r="A16" s="2"/>
      <c r="B16" s="13"/>
      <c r="C16" s="13"/>
      <c r="D16" s="13"/>
      <c r="E16" s="13"/>
      <c r="F16" s="13"/>
      <c r="G16" s="13"/>
      <c r="H16" s="13"/>
    </row>
    <row r="17" spans="1:8" x14ac:dyDescent="0.25">
      <c r="A17" s="2"/>
      <c r="B17" s="13"/>
      <c r="C17" s="13"/>
      <c r="D17" s="13"/>
      <c r="E17" s="13"/>
      <c r="F17" s="13"/>
      <c r="G17" s="13"/>
      <c r="H17" s="13"/>
    </row>
    <row r="18" spans="1:8" x14ac:dyDescent="0.25">
      <c r="A18" s="2"/>
      <c r="B18" s="13"/>
      <c r="C18" s="13"/>
      <c r="D18" s="13"/>
      <c r="E18" s="13"/>
      <c r="F18" s="13"/>
      <c r="G18" s="13"/>
      <c r="H18" s="13"/>
    </row>
    <row r="19" spans="1:8" x14ac:dyDescent="0.25">
      <c r="A19" s="2"/>
      <c r="B19" s="13"/>
      <c r="C19" s="13"/>
      <c r="D19" s="13"/>
      <c r="E19" s="13"/>
      <c r="F19" s="13"/>
      <c r="G19" s="13"/>
      <c r="H19" s="13"/>
    </row>
    <row r="20" spans="1:8" x14ac:dyDescent="0.25">
      <c r="A20" s="2"/>
      <c r="B20" s="13"/>
      <c r="C20" s="13"/>
      <c r="D20" s="13"/>
      <c r="E20" s="13"/>
      <c r="F20" s="13"/>
      <c r="G20" s="13"/>
      <c r="H20" s="13"/>
    </row>
    <row r="21" spans="1:8" x14ac:dyDescent="0.25">
      <c r="A21" s="2"/>
      <c r="B21" s="13"/>
      <c r="C21" s="13"/>
      <c r="D21" s="13"/>
      <c r="E21" s="13"/>
      <c r="F21" s="13"/>
      <c r="G21" s="13"/>
      <c r="H21" s="13"/>
    </row>
    <row r="22" spans="1:8" x14ac:dyDescent="0.25">
      <c r="A22" s="2"/>
      <c r="B22" s="13"/>
      <c r="C22" s="13"/>
      <c r="D22" s="13"/>
      <c r="E22" s="13"/>
      <c r="F22" s="13"/>
      <c r="G22" s="13"/>
      <c r="H22" s="13"/>
    </row>
    <row r="23" spans="1:8" x14ac:dyDescent="0.25">
      <c r="A23" s="2"/>
      <c r="B23" s="13"/>
      <c r="C23" s="13"/>
      <c r="D23" s="13"/>
      <c r="E23" s="13"/>
      <c r="F23" s="13"/>
      <c r="G23" s="13"/>
      <c r="H23" s="13"/>
    </row>
    <row r="24" spans="1:8" x14ac:dyDescent="0.25">
      <c r="A24" s="2"/>
      <c r="B24" s="13"/>
      <c r="C24" s="13"/>
      <c r="D24" s="13"/>
      <c r="E24" s="13"/>
      <c r="F24" s="13"/>
      <c r="G24" s="13"/>
      <c r="H24" s="13"/>
    </row>
    <row r="25" spans="1:8" x14ac:dyDescent="0.25">
      <c r="A25" s="2"/>
      <c r="B25" s="13"/>
      <c r="C25" s="13"/>
      <c r="D25" s="13"/>
      <c r="E25" s="13"/>
      <c r="F25" s="13"/>
      <c r="G25" s="13"/>
      <c r="H25" s="13"/>
    </row>
    <row r="26" spans="1:8" x14ac:dyDescent="0.25">
      <c r="A26" s="2"/>
      <c r="B26" s="13"/>
      <c r="C26" s="13"/>
      <c r="D26" s="13"/>
      <c r="E26" s="13"/>
      <c r="F26" s="13"/>
      <c r="G26" s="13"/>
      <c r="H26" s="13"/>
    </row>
    <row r="27" spans="1:8" x14ac:dyDescent="0.25">
      <c r="A27" s="2"/>
      <c r="B27" s="13"/>
      <c r="C27" s="13"/>
      <c r="D27" s="13"/>
      <c r="E27" s="13"/>
      <c r="F27" s="13"/>
      <c r="G27" s="13"/>
      <c r="H27" s="13"/>
    </row>
    <row r="28" spans="1:8" x14ac:dyDescent="0.25">
      <c r="A28" s="2"/>
      <c r="B28" s="13"/>
      <c r="C28" s="13"/>
      <c r="D28" s="13"/>
      <c r="E28" s="13"/>
      <c r="F28" s="13"/>
      <c r="G28" s="13"/>
      <c r="H28" s="13"/>
    </row>
    <row r="29" spans="1:8" x14ac:dyDescent="0.25">
      <c r="A29" s="2"/>
      <c r="B29" s="13"/>
      <c r="C29" s="13"/>
      <c r="D29" s="13"/>
      <c r="E29" s="13"/>
      <c r="F29" s="13"/>
      <c r="G29" s="13"/>
      <c r="H29" s="13"/>
    </row>
    <row r="30" spans="1:8" x14ac:dyDescent="0.25">
      <c r="A30" s="2"/>
      <c r="B30" s="13"/>
      <c r="C30" s="13"/>
      <c r="D30" s="13"/>
      <c r="E30" s="13"/>
      <c r="F30" s="13"/>
      <c r="G30" s="13"/>
      <c r="H30" s="13"/>
    </row>
    <row r="31" spans="1:8" x14ac:dyDescent="0.25">
      <c r="A31" s="2"/>
      <c r="B31" s="13"/>
      <c r="C31" s="13"/>
      <c r="D31" s="13"/>
      <c r="E31" s="13"/>
      <c r="F31" s="13"/>
      <c r="G31" s="13"/>
      <c r="H31" s="13"/>
    </row>
    <row r="32" spans="1:8" x14ac:dyDescent="0.25">
      <c r="A32" s="2"/>
      <c r="B32" s="13"/>
      <c r="C32" s="13"/>
      <c r="D32" s="13"/>
      <c r="E32" s="13"/>
      <c r="F32" s="13"/>
      <c r="G32" s="13"/>
      <c r="H32" s="13"/>
    </row>
    <row r="33" spans="1:8" x14ac:dyDescent="0.25">
      <c r="A33" s="2"/>
      <c r="B33" s="13"/>
      <c r="C33" s="13"/>
      <c r="D33" s="13"/>
      <c r="E33" s="13"/>
      <c r="F33" s="13"/>
      <c r="G33" s="13"/>
      <c r="H33" s="13"/>
    </row>
    <row r="34" spans="1:8" x14ac:dyDescent="0.25">
      <c r="A34" s="2"/>
      <c r="B34" s="13"/>
      <c r="C34" s="13"/>
      <c r="D34" s="13"/>
      <c r="E34" s="13"/>
      <c r="F34" s="13"/>
      <c r="G34" s="13"/>
      <c r="H34" s="13"/>
    </row>
    <row r="35" spans="1:8" x14ac:dyDescent="0.25">
      <c r="A35" s="2"/>
      <c r="B35" s="13"/>
      <c r="C35" s="13"/>
      <c r="D35" s="13"/>
      <c r="E35" s="13"/>
      <c r="F35" s="13"/>
      <c r="G35" s="13"/>
      <c r="H35" s="13"/>
    </row>
    <row r="36" spans="1:8" x14ac:dyDescent="0.25">
      <c r="A36" s="2"/>
      <c r="B36" s="13"/>
      <c r="C36" s="13"/>
      <c r="D36" s="13"/>
      <c r="E36" s="13"/>
      <c r="F36" s="13"/>
      <c r="G36" s="13"/>
      <c r="H36" s="13"/>
    </row>
    <row r="37" spans="1:8" x14ac:dyDescent="0.25">
      <c r="A37" s="2"/>
      <c r="B37" s="13"/>
      <c r="C37" s="13"/>
      <c r="D37" s="13"/>
      <c r="E37" s="13"/>
      <c r="F37" s="13"/>
      <c r="G37" s="13"/>
      <c r="H37" s="13"/>
    </row>
    <row r="38" spans="1:8" x14ac:dyDescent="0.25">
      <c r="A38" s="2"/>
      <c r="B38" s="13"/>
      <c r="C38" s="13"/>
      <c r="D38" s="13"/>
      <c r="E38" s="13"/>
      <c r="F38" s="13"/>
      <c r="G38" s="13"/>
      <c r="H38" s="13"/>
    </row>
    <row r="39" spans="1:8" x14ac:dyDescent="0.25">
      <c r="A39" s="2"/>
      <c r="B39" s="13"/>
      <c r="C39" s="13"/>
      <c r="D39" s="13"/>
      <c r="E39" s="13"/>
      <c r="F39" s="13"/>
      <c r="G39" s="13"/>
      <c r="H39" s="13"/>
    </row>
    <row r="40" spans="1:8" x14ac:dyDescent="0.25">
      <c r="A40" s="2"/>
      <c r="B40" s="13"/>
      <c r="C40" s="13"/>
      <c r="D40" s="13"/>
      <c r="E40" s="13"/>
      <c r="F40" s="13"/>
      <c r="G40" s="13"/>
      <c r="H40" s="13"/>
    </row>
    <row r="41" spans="1:8" x14ac:dyDescent="0.25">
      <c r="A41" s="2"/>
      <c r="B41" s="13"/>
      <c r="C41" s="13"/>
      <c r="D41" s="13"/>
      <c r="E41" s="13"/>
      <c r="F41" s="13"/>
      <c r="G41" s="13"/>
      <c r="H41" s="13"/>
    </row>
    <row r="42" spans="1:8" x14ac:dyDescent="0.25">
      <c r="A42" s="2"/>
      <c r="B42" s="13"/>
      <c r="C42" s="13"/>
      <c r="D42" s="13"/>
      <c r="E42" s="13"/>
      <c r="F42" s="13"/>
      <c r="G42" s="13"/>
      <c r="H42" s="13"/>
    </row>
    <row r="43" spans="1:8" x14ac:dyDescent="0.25">
      <c r="A43" s="2"/>
      <c r="B43" s="13"/>
      <c r="C43" s="13"/>
      <c r="D43" s="13"/>
      <c r="E43" s="13"/>
      <c r="F43" s="13"/>
      <c r="G43" s="13"/>
      <c r="H43" s="13"/>
    </row>
    <row r="44" spans="1:8" x14ac:dyDescent="0.25">
      <c r="A44" s="2"/>
      <c r="B44" s="13"/>
      <c r="C44" s="13"/>
      <c r="D44" s="13"/>
      <c r="E44" s="13"/>
      <c r="F44" s="13"/>
      <c r="G44" s="13"/>
      <c r="H44" s="13"/>
    </row>
    <row r="45" spans="1:8" x14ac:dyDescent="0.25">
      <c r="A45" s="2"/>
      <c r="B45" s="13"/>
      <c r="C45" s="13"/>
      <c r="D45" s="13"/>
      <c r="E45" s="13"/>
      <c r="F45" s="13"/>
      <c r="G45" s="13"/>
      <c r="H45" s="13"/>
    </row>
    <row r="46" spans="1:8" x14ac:dyDescent="0.25">
      <c r="A46" s="2"/>
      <c r="B46" s="13"/>
      <c r="C46" s="13"/>
      <c r="D46" s="13"/>
      <c r="E46" s="13"/>
      <c r="F46" s="13"/>
      <c r="G46" s="13"/>
      <c r="H46" s="13"/>
    </row>
    <row r="47" spans="1:8" x14ac:dyDescent="0.25">
      <c r="A47" s="2"/>
      <c r="B47" s="13"/>
      <c r="C47" s="13"/>
      <c r="D47" s="13"/>
      <c r="E47" s="13"/>
      <c r="F47" s="13"/>
      <c r="G47" s="13"/>
      <c r="H47" s="13"/>
    </row>
    <row r="48" spans="1:8" x14ac:dyDescent="0.25">
      <c r="A48" s="2"/>
      <c r="B48" s="13"/>
      <c r="C48" s="13"/>
      <c r="D48" s="13"/>
      <c r="E48" s="13"/>
      <c r="F48" s="13"/>
      <c r="G48" s="13"/>
      <c r="H48" s="13"/>
    </row>
    <row r="49" spans="1:8" x14ac:dyDescent="0.25">
      <c r="A49" s="2"/>
      <c r="B49" s="13"/>
      <c r="C49" s="13"/>
      <c r="D49" s="13"/>
      <c r="E49" s="13"/>
      <c r="F49" s="13"/>
      <c r="G49" s="13"/>
      <c r="H49" s="13"/>
    </row>
    <row r="50" spans="1:8" x14ac:dyDescent="0.25">
      <c r="A50" s="2"/>
      <c r="B50" s="13"/>
      <c r="C50" s="13"/>
      <c r="D50" s="13"/>
      <c r="E50" s="13"/>
      <c r="F50" s="13"/>
      <c r="G50" s="13"/>
      <c r="H50" s="13"/>
    </row>
    <row r="51" spans="1:8" x14ac:dyDescent="0.25">
      <c r="A51" s="2"/>
      <c r="B51" s="13"/>
      <c r="C51" s="13"/>
      <c r="D51" s="13"/>
      <c r="E51" s="13"/>
      <c r="F51" s="13"/>
      <c r="G51" s="13"/>
      <c r="H51" s="13"/>
    </row>
    <row r="52" spans="1:8" x14ac:dyDescent="0.25">
      <c r="A52" s="2"/>
      <c r="B52" s="13"/>
      <c r="C52" s="13"/>
      <c r="D52" s="13"/>
      <c r="E52" s="13"/>
      <c r="F52" s="13"/>
      <c r="G52" s="13"/>
      <c r="H52" s="13"/>
    </row>
    <row r="53" spans="1:8" x14ac:dyDescent="0.25">
      <c r="A53" s="2"/>
      <c r="B53" s="13"/>
      <c r="C53" s="13"/>
      <c r="D53" s="13"/>
      <c r="E53" s="13"/>
      <c r="F53" s="13"/>
      <c r="G53" s="13"/>
      <c r="H53" s="13"/>
    </row>
    <row r="54" spans="1:8" x14ac:dyDescent="0.25">
      <c r="A54" s="2"/>
      <c r="B54" s="13"/>
      <c r="C54" s="13"/>
      <c r="D54" s="13"/>
      <c r="E54" s="13"/>
      <c r="F54" s="13"/>
      <c r="G54" s="13"/>
      <c r="H54" s="13"/>
    </row>
    <row r="55" spans="1:8" x14ac:dyDescent="0.25">
      <c r="A55" s="2"/>
      <c r="B55" s="13"/>
      <c r="C55" s="13"/>
      <c r="D55" s="13"/>
      <c r="E55" s="13"/>
      <c r="F55" s="13"/>
      <c r="G55" s="13"/>
      <c r="H55" s="13"/>
    </row>
    <row r="56" spans="1:8" x14ac:dyDescent="0.25">
      <c r="A56" s="2"/>
      <c r="B56" s="13"/>
      <c r="C56" s="13"/>
      <c r="D56" s="13"/>
      <c r="E56" s="13"/>
      <c r="F56" s="13"/>
      <c r="G56" s="13"/>
      <c r="H56" s="13"/>
    </row>
    <row r="57" spans="1:8" x14ac:dyDescent="0.25">
      <c r="A57" s="2"/>
      <c r="B57" s="13"/>
      <c r="C57" s="13"/>
      <c r="D57" s="13"/>
      <c r="E57" s="13"/>
      <c r="F57" s="13"/>
      <c r="G57" s="13"/>
      <c r="H57" s="13"/>
    </row>
    <row r="58" spans="1:8" x14ac:dyDescent="0.25">
      <c r="A58" s="2"/>
      <c r="B58" s="13"/>
      <c r="C58" s="13"/>
      <c r="D58" s="13"/>
      <c r="E58" s="13"/>
      <c r="F58" s="13"/>
      <c r="G58" s="13"/>
      <c r="H58" s="13"/>
    </row>
    <row r="59" spans="1:8" x14ac:dyDescent="0.25">
      <c r="A59" s="2"/>
      <c r="B59" s="13"/>
      <c r="C59" s="13"/>
      <c r="D59" s="13"/>
      <c r="E59" s="13"/>
      <c r="F59" s="13"/>
      <c r="G59" s="13"/>
      <c r="H59" s="13"/>
    </row>
    <row r="60" spans="1:8" x14ac:dyDescent="0.25">
      <c r="A60" s="2"/>
      <c r="B60" s="13"/>
      <c r="C60" s="13"/>
      <c r="D60" s="13"/>
      <c r="E60" s="13"/>
      <c r="F60" s="13"/>
      <c r="G60" s="13"/>
      <c r="H60" s="13"/>
    </row>
    <row r="61" spans="1:8" x14ac:dyDescent="0.25">
      <c r="A61" s="2"/>
      <c r="B61" s="13"/>
      <c r="C61" s="13"/>
      <c r="D61" s="13"/>
      <c r="E61" s="13"/>
      <c r="F61" s="13"/>
      <c r="G61" s="13"/>
      <c r="H61" s="13"/>
    </row>
    <row r="62" spans="1:8" x14ac:dyDescent="0.25">
      <c r="A62" s="2"/>
      <c r="B62" s="13"/>
      <c r="C62" s="13"/>
      <c r="D62" s="13"/>
      <c r="E62" s="13"/>
      <c r="F62" s="13"/>
      <c r="G62" s="13"/>
      <c r="H62" s="13"/>
    </row>
    <row r="63" spans="1:8" x14ac:dyDescent="0.25">
      <c r="A63" s="2"/>
      <c r="B63" s="13"/>
      <c r="C63" s="13"/>
      <c r="D63" s="13"/>
      <c r="E63" s="13"/>
      <c r="F63" s="13"/>
      <c r="G63" s="13"/>
      <c r="H63" s="13"/>
    </row>
    <row r="64" spans="1:8" x14ac:dyDescent="0.25">
      <c r="A64" s="2"/>
      <c r="B64" s="13"/>
      <c r="C64" s="13"/>
      <c r="D64" s="13"/>
      <c r="E64" s="13"/>
      <c r="F64" s="13"/>
      <c r="G64" s="13"/>
      <c r="H64" s="13"/>
    </row>
    <row r="65" spans="1:8" x14ac:dyDescent="0.25">
      <c r="A65" s="2"/>
      <c r="B65" s="13"/>
      <c r="C65" s="13"/>
      <c r="D65" s="13"/>
      <c r="E65" s="13"/>
      <c r="F65" s="13"/>
      <c r="G65" s="13"/>
      <c r="H65" s="13"/>
    </row>
    <row r="66" spans="1:8" x14ac:dyDescent="0.25">
      <c r="A66" s="2"/>
      <c r="B66" s="13"/>
      <c r="C66" s="13"/>
      <c r="D66" s="13"/>
      <c r="E66" s="13"/>
      <c r="F66" s="13"/>
      <c r="G66" s="13"/>
      <c r="H66" s="13"/>
    </row>
    <row r="67" spans="1:8" x14ac:dyDescent="0.25">
      <c r="A67" s="2"/>
      <c r="B67" s="13"/>
      <c r="C67" s="13"/>
      <c r="D67" s="13"/>
      <c r="E67" s="13"/>
      <c r="F67" s="13"/>
      <c r="G67" s="13"/>
      <c r="H67" s="13"/>
    </row>
    <row r="68" spans="1:8" x14ac:dyDescent="0.25">
      <c r="A68" s="2"/>
      <c r="B68" s="13"/>
      <c r="C68" s="13"/>
      <c r="D68" s="13"/>
      <c r="E68" s="13"/>
      <c r="F68" s="13"/>
      <c r="G68" s="13"/>
      <c r="H68" s="13"/>
    </row>
    <row r="69" spans="1:8" x14ac:dyDescent="0.25">
      <c r="A69" s="2"/>
      <c r="B69" s="13"/>
      <c r="C69" s="13"/>
      <c r="D69" s="13"/>
      <c r="E69" s="13"/>
      <c r="F69" s="13"/>
      <c r="G69" s="13"/>
      <c r="H69" s="13"/>
    </row>
    <row r="70" spans="1:8" x14ac:dyDescent="0.25">
      <c r="A70" s="2"/>
      <c r="B70" s="13"/>
      <c r="C70" s="13"/>
      <c r="D70" s="13"/>
      <c r="E70" s="13"/>
      <c r="F70" s="13"/>
      <c r="G70" s="13"/>
      <c r="H70" s="13"/>
    </row>
    <row r="71" spans="1:8" x14ac:dyDescent="0.25">
      <c r="A71" s="2"/>
      <c r="B71" s="13"/>
      <c r="C71" s="13"/>
      <c r="D71" s="13"/>
      <c r="E71" s="13"/>
      <c r="F71" s="13"/>
      <c r="G71" s="13"/>
      <c r="H71" s="13"/>
    </row>
    <row r="72" spans="1:8" x14ac:dyDescent="0.25">
      <c r="A72" s="2"/>
      <c r="B72" s="13"/>
      <c r="C72" s="13"/>
      <c r="D72" s="13"/>
      <c r="E72" s="13"/>
      <c r="F72" s="13"/>
      <c r="G72" s="13"/>
      <c r="H72" s="13"/>
    </row>
    <row r="73" spans="1:8" x14ac:dyDescent="0.25">
      <c r="A73" s="2"/>
      <c r="B73" s="13"/>
      <c r="C73" s="13"/>
      <c r="D73" s="13"/>
      <c r="E73" s="13"/>
      <c r="F73" s="13"/>
      <c r="G73" s="13"/>
      <c r="H73" s="13"/>
    </row>
    <row r="74" spans="1:8" x14ac:dyDescent="0.25">
      <c r="A74" s="2"/>
      <c r="B74" s="13"/>
      <c r="C74" s="13"/>
      <c r="D74" s="13"/>
      <c r="E74" s="13"/>
      <c r="F74" s="13"/>
      <c r="G74" s="13"/>
      <c r="H74" s="13"/>
    </row>
    <row r="75" spans="1:8" x14ac:dyDescent="0.25">
      <c r="A75" s="2"/>
      <c r="B75" s="13"/>
      <c r="C75" s="13"/>
      <c r="D75" s="13"/>
      <c r="E75" s="13"/>
      <c r="F75" s="13"/>
      <c r="G75" s="13"/>
      <c r="H75" s="13"/>
    </row>
    <row r="76" spans="1:8" x14ac:dyDescent="0.25">
      <c r="A76" s="2"/>
      <c r="B76" s="13"/>
      <c r="C76" s="13"/>
      <c r="D76" s="13"/>
      <c r="E76" s="13"/>
      <c r="F76" s="13"/>
      <c r="G76" s="13"/>
      <c r="H76" s="13"/>
    </row>
    <row r="77" spans="1:8" x14ac:dyDescent="0.25">
      <c r="A77" s="2"/>
      <c r="B77" s="13"/>
      <c r="C77" s="13"/>
      <c r="D77" s="13"/>
      <c r="E77" s="13"/>
      <c r="F77" s="13"/>
      <c r="G77" s="13"/>
      <c r="H77" s="13"/>
    </row>
    <row r="78" spans="1:8" x14ac:dyDescent="0.25">
      <c r="A78" s="2"/>
      <c r="B78" s="13"/>
      <c r="C78" s="13"/>
      <c r="D78" s="13"/>
      <c r="E78" s="13"/>
      <c r="F78" s="13"/>
      <c r="G78" s="13"/>
      <c r="H78" s="13"/>
    </row>
    <row r="79" spans="1:8" x14ac:dyDescent="0.25">
      <c r="A79" s="2"/>
      <c r="B79" s="13"/>
      <c r="C79" s="13"/>
      <c r="D79" s="13"/>
      <c r="E79" s="13"/>
      <c r="F79" s="13"/>
      <c r="G79" s="13"/>
      <c r="H79" s="13"/>
    </row>
    <row r="80" spans="1:8" x14ac:dyDescent="0.25">
      <c r="A80" s="2"/>
      <c r="B80" s="13"/>
      <c r="C80" s="13"/>
      <c r="D80" s="13"/>
      <c r="E80" s="13"/>
      <c r="F80" s="13"/>
      <c r="G80" s="13"/>
      <c r="H80" s="13"/>
    </row>
    <row r="81" spans="1:8" x14ac:dyDescent="0.25">
      <c r="A81" s="2"/>
      <c r="B81" s="13"/>
      <c r="C81" s="13"/>
      <c r="D81" s="13"/>
      <c r="E81" s="13"/>
      <c r="F81" s="13"/>
      <c r="G81" s="13"/>
      <c r="H81" s="13"/>
    </row>
    <row r="82" spans="1:8" x14ac:dyDescent="0.25">
      <c r="A82" s="2"/>
      <c r="B82" s="13"/>
      <c r="C82" s="13"/>
      <c r="D82" s="13"/>
      <c r="E82" s="13"/>
      <c r="F82" s="13"/>
      <c r="G82" s="13"/>
      <c r="H82" s="13"/>
    </row>
    <row r="83" spans="1:8" x14ac:dyDescent="0.25">
      <c r="A83" s="2"/>
      <c r="B83" s="13"/>
      <c r="C83" s="13"/>
      <c r="D83" s="13"/>
      <c r="E83" s="13"/>
      <c r="F83" s="13"/>
      <c r="G83" s="13"/>
      <c r="H83" s="13"/>
    </row>
    <row r="84" spans="1:8" x14ac:dyDescent="0.25">
      <c r="A84" s="2"/>
      <c r="B84" s="13"/>
      <c r="C84" s="13"/>
      <c r="D84" s="13"/>
      <c r="E84" s="13"/>
      <c r="F84" s="13"/>
      <c r="G84" s="13"/>
      <c r="H84" s="13"/>
    </row>
    <row r="85" spans="1:8" x14ac:dyDescent="0.25">
      <c r="A85" s="2"/>
      <c r="B85" s="13"/>
      <c r="C85" s="13"/>
      <c r="D85" s="13"/>
      <c r="E85" s="13"/>
      <c r="F85" s="13"/>
      <c r="G85" s="13"/>
      <c r="H85" s="13"/>
    </row>
    <row r="86" spans="1:8" x14ac:dyDescent="0.25">
      <c r="A86" s="2"/>
      <c r="B86" s="13"/>
      <c r="C86" s="13"/>
      <c r="D86" s="13"/>
      <c r="E86" s="13"/>
      <c r="F86" s="13"/>
      <c r="G86" s="13"/>
      <c r="H86" s="13"/>
    </row>
    <row r="87" spans="1:8" x14ac:dyDescent="0.25">
      <c r="A87" s="2"/>
      <c r="B87" s="13"/>
      <c r="C87" s="13"/>
      <c r="D87" s="13"/>
      <c r="E87" s="13"/>
      <c r="F87" s="13"/>
      <c r="G87" s="13"/>
      <c r="H87" s="13"/>
    </row>
    <row r="88" spans="1:8" x14ac:dyDescent="0.25">
      <c r="A88" s="2"/>
      <c r="B88" s="13"/>
      <c r="C88" s="13"/>
      <c r="D88" s="13"/>
      <c r="E88" s="13"/>
      <c r="F88" s="13"/>
      <c r="G88" s="13"/>
      <c r="H88" s="13"/>
    </row>
    <row r="89" spans="1:8" x14ac:dyDescent="0.25">
      <c r="A89" s="2"/>
      <c r="B89" s="13"/>
      <c r="C89" s="13"/>
      <c r="D89" s="13"/>
      <c r="E89" s="13"/>
      <c r="F89" s="13"/>
      <c r="G89" s="13"/>
      <c r="H89" s="13"/>
    </row>
    <row r="90" spans="1:8" x14ac:dyDescent="0.25">
      <c r="A90" s="2"/>
      <c r="B90" s="13"/>
      <c r="C90" s="13"/>
      <c r="D90" s="13"/>
      <c r="E90" s="13"/>
      <c r="F90" s="13"/>
      <c r="G90" s="13"/>
      <c r="H90" s="13"/>
    </row>
    <row r="91" spans="1:8" x14ac:dyDescent="0.25">
      <c r="A91" s="2"/>
      <c r="B91" s="13"/>
      <c r="C91" s="13"/>
      <c r="D91" s="13"/>
      <c r="E91" s="13"/>
      <c r="F91" s="13"/>
      <c r="G91" s="13"/>
      <c r="H91" s="13"/>
    </row>
    <row r="92" spans="1:8" x14ac:dyDescent="0.25">
      <c r="A92" s="2"/>
      <c r="B92" s="13"/>
      <c r="C92" s="13"/>
      <c r="D92" s="13"/>
      <c r="E92" s="13"/>
      <c r="F92" s="13"/>
      <c r="G92" s="13"/>
      <c r="H92" s="13"/>
    </row>
    <row r="93" spans="1:8" x14ac:dyDescent="0.25">
      <c r="A93" s="2"/>
      <c r="B93" s="13"/>
      <c r="C93" s="13"/>
      <c r="D93" s="13"/>
      <c r="E93" s="13"/>
      <c r="F93" s="13"/>
      <c r="G93" s="13"/>
      <c r="H93" s="13"/>
    </row>
    <row r="94" spans="1:8" x14ac:dyDescent="0.25">
      <c r="A94" s="2"/>
      <c r="B94" s="13"/>
      <c r="C94" s="13"/>
      <c r="D94" s="13"/>
      <c r="E94" s="13"/>
      <c r="F94" s="13"/>
      <c r="G94" s="13"/>
      <c r="H94" s="13"/>
    </row>
    <row r="95" spans="1:8" x14ac:dyDescent="0.25">
      <c r="A95" s="2"/>
      <c r="B95" s="13"/>
      <c r="C95" s="13"/>
      <c r="D95" s="13"/>
      <c r="E95" s="13"/>
      <c r="F95" s="13"/>
      <c r="G95" s="13"/>
      <c r="H95" s="13"/>
    </row>
    <row r="96" spans="1:8" x14ac:dyDescent="0.25">
      <c r="A96" s="2"/>
      <c r="B96" s="13"/>
      <c r="C96" s="13"/>
      <c r="D96" s="13"/>
      <c r="E96" s="13"/>
      <c r="F96" s="13"/>
      <c r="G96" s="13"/>
      <c r="H96" s="13"/>
    </row>
    <row r="97" spans="1:8" x14ac:dyDescent="0.25">
      <c r="A97" s="2"/>
      <c r="B97" s="13"/>
      <c r="C97" s="13"/>
      <c r="D97" s="13"/>
      <c r="E97" s="13"/>
      <c r="F97" s="13"/>
      <c r="G97" s="13"/>
      <c r="H97" s="13"/>
    </row>
  </sheetData>
  <mergeCells count="5">
    <mergeCell ref="K3:K4"/>
    <mergeCell ref="A1:K2"/>
    <mergeCell ref="I3:I4"/>
    <mergeCell ref="H3:H4"/>
    <mergeCell ref="J3:J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1922C-1D91-4427-8A60-308D19E43212}">
  <sheetPr codeName="List3"/>
  <dimension ref="A1:D9"/>
  <sheetViews>
    <sheetView workbookViewId="0">
      <selection activeCell="I20" sqref="I20"/>
    </sheetView>
  </sheetViews>
  <sheetFormatPr defaultRowHeight="15" x14ac:dyDescent="0.25"/>
  <cols>
    <col min="2" max="2" width="11.42578125" customWidth="1"/>
    <col min="3" max="3" width="12.85546875" customWidth="1"/>
    <col min="10" max="10" width="11.5703125" customWidth="1"/>
    <col min="11" max="11" width="12.140625" customWidth="1"/>
  </cols>
  <sheetData>
    <row r="1" spans="1:4" x14ac:dyDescent="0.25">
      <c r="A1" t="s">
        <v>8</v>
      </c>
      <c r="B1">
        <v>745681.59866070491</v>
      </c>
      <c r="C1">
        <v>1027765.440636117</v>
      </c>
      <c r="D1">
        <v>0</v>
      </c>
    </row>
    <row r="2" spans="1:4" x14ac:dyDescent="0.25">
      <c r="A2" t="s">
        <v>9</v>
      </c>
      <c r="B2">
        <v>745682.40553424356</v>
      </c>
      <c r="C2">
        <v>1027768.450932105</v>
      </c>
      <c r="D2">
        <v>0</v>
      </c>
    </row>
    <row r="3" spans="1:4" x14ac:dyDescent="0.25">
      <c r="A3" t="s">
        <v>10</v>
      </c>
      <c r="B3">
        <v>745682.91231439065</v>
      </c>
      <c r="C3">
        <v>1027770.254536217</v>
      </c>
      <c r="D3">
        <v>0</v>
      </c>
    </row>
    <row r="4" spans="1:4" x14ac:dyDescent="0.25">
      <c r="A4" t="s">
        <v>11</v>
      </c>
      <c r="B4">
        <v>745683.7643699171</v>
      </c>
      <c r="C4">
        <v>1027773.278409839</v>
      </c>
      <c r="D4">
        <v>0</v>
      </c>
    </row>
    <row r="5" spans="1:4" x14ac:dyDescent="0.25">
      <c r="A5" t="s">
        <v>12</v>
      </c>
      <c r="B5">
        <v>745684.24181083369</v>
      </c>
      <c r="C5">
        <v>1027775.061362105</v>
      </c>
      <c r="D5">
        <v>0</v>
      </c>
    </row>
    <row r="6" spans="1:4" x14ac:dyDescent="0.25">
      <c r="A6" t="s">
        <v>13</v>
      </c>
      <c r="B6">
        <v>745685.05135068926</v>
      </c>
      <c r="C6">
        <v>1027778.080193571</v>
      </c>
      <c r="D6">
        <v>0</v>
      </c>
    </row>
    <row r="7" spans="1:4" x14ac:dyDescent="0.25">
      <c r="A7" t="s">
        <v>14</v>
      </c>
      <c r="B7">
        <v>745685.55266324955</v>
      </c>
      <c r="C7">
        <v>1027779.888776651</v>
      </c>
      <c r="D7">
        <v>0</v>
      </c>
    </row>
    <row r="8" spans="1:4" x14ac:dyDescent="0.25">
      <c r="A8" t="s">
        <v>15</v>
      </c>
      <c r="B8">
        <v>745686.40809584665</v>
      </c>
      <c r="C8">
        <v>1027782.906900674</v>
      </c>
      <c r="D8">
        <v>0</v>
      </c>
    </row>
    <row r="9" spans="1:4" x14ac:dyDescent="0.25">
      <c r="A9" t="s">
        <v>16</v>
      </c>
      <c r="B9">
        <v>745687.07847115176</v>
      </c>
      <c r="C9">
        <v>1027785.326427788</v>
      </c>
      <c r="D9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3A56-C421-49F4-8E60-AD475E77B00E}">
  <sheetPr codeName="List4"/>
  <dimension ref="A1:D9"/>
  <sheetViews>
    <sheetView workbookViewId="0">
      <selection activeCell="B7" sqref="B7"/>
    </sheetView>
  </sheetViews>
  <sheetFormatPr defaultRowHeight="15" x14ac:dyDescent="0.25"/>
  <cols>
    <col min="2" max="2" width="11.28515625" customWidth="1"/>
    <col min="3" max="3" width="12.85546875" customWidth="1"/>
  </cols>
  <sheetData>
    <row r="1" spans="1:4" x14ac:dyDescent="0.25">
      <c r="A1">
        <v>1</v>
      </c>
      <c r="B1">
        <v>745686.63883640582</v>
      </c>
      <c r="C1">
        <v>1027782.64688197</v>
      </c>
      <c r="D1">
        <v>0</v>
      </c>
    </row>
    <row r="2" spans="1:4" x14ac:dyDescent="0.25">
      <c r="A2">
        <v>2</v>
      </c>
      <c r="B2">
        <v>745687.30263415293</v>
      </c>
      <c r="C2">
        <v>1027785.0571459699</v>
      </c>
      <c r="D2">
        <v>0</v>
      </c>
    </row>
    <row r="3" spans="1:4" x14ac:dyDescent="0.25">
      <c r="A3">
        <v>3</v>
      </c>
      <c r="B3">
        <v>745685.97503865953</v>
      </c>
      <c r="C3">
        <v>1027780.23661797</v>
      </c>
      <c r="D3">
        <v>0</v>
      </c>
    </row>
    <row r="4" spans="1:4" x14ac:dyDescent="0.25">
      <c r="A4">
        <v>4</v>
      </c>
      <c r="B4">
        <v>745685.31124091253</v>
      </c>
      <c r="C4">
        <v>1027777.8263539691</v>
      </c>
      <c r="D4">
        <v>0</v>
      </c>
    </row>
    <row r="5" spans="1:4" x14ac:dyDescent="0.25">
      <c r="A5">
        <v>5</v>
      </c>
      <c r="B5">
        <v>745684.647443166</v>
      </c>
      <c r="C5">
        <v>1027775.416089969</v>
      </c>
      <c r="D5">
        <v>0</v>
      </c>
    </row>
    <row r="6" spans="1:4" x14ac:dyDescent="0.25">
      <c r="A6">
        <v>6</v>
      </c>
      <c r="B6">
        <v>745683.98364541936</v>
      </c>
      <c r="C6">
        <v>1027773.005825969</v>
      </c>
      <c r="D6">
        <v>0</v>
      </c>
    </row>
    <row r="7" spans="1:4" x14ac:dyDescent="0.25">
      <c r="A7">
        <v>7</v>
      </c>
      <c r="B7">
        <v>745683.31984767271</v>
      </c>
      <c r="C7">
        <v>1027770.595561968</v>
      </c>
      <c r="D7">
        <v>0</v>
      </c>
    </row>
    <row r="8" spans="1:4" x14ac:dyDescent="0.25">
      <c r="A8">
        <v>8</v>
      </c>
      <c r="B8">
        <v>745682.65604992583</v>
      </c>
      <c r="C8">
        <v>1027768.185297968</v>
      </c>
      <c r="D8">
        <v>0</v>
      </c>
    </row>
    <row r="9" spans="1:4" x14ac:dyDescent="0.25">
      <c r="A9">
        <v>9</v>
      </c>
      <c r="B9">
        <v>745681.99225217884</v>
      </c>
      <c r="C9">
        <v>1027765.775033967</v>
      </c>
      <c r="D9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Program</vt:lpstr>
      <vt:lpstr>Souradnice</vt:lpstr>
      <vt:lpstr>Vytyceni</vt:lpstr>
      <vt:lpstr>Zamereni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Jonáš Bartoň | Zakládání staveb, a.s.</dc:creator>
  <cp:lastModifiedBy>Jonáš Bartoň | Zakládání staveb, a.s.</cp:lastModifiedBy>
  <dcterms:created xsi:type="dcterms:W3CDTF">2024-05-22T15:35:10Z</dcterms:created>
  <dcterms:modified xsi:type="dcterms:W3CDTF">2024-08-29T16:08:48Z</dcterms:modified>
</cp:coreProperties>
</file>